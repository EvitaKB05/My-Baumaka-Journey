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cabel\OneDrive\Рабочий стол\Электроника\Лаб4\"/>
    </mc:Choice>
  </mc:AlternateContent>
  <xr:revisionPtr revIDLastSave="0" documentId="13_ncr:1_{8DD38ECA-79AB-4F64-971F-E3C2A8DFD942}" xr6:coauthVersionLast="45" xr6:coauthVersionMax="45" xr10:uidLastSave="{00000000-0000-0000-0000-000000000000}"/>
  <bookViews>
    <workbookView xWindow="-120" yWindow="-120" windowWidth="20730" windowHeight="11040" activeTab="7" xr2:uid="{00000000-000D-0000-FFFF-FFFF00000000}"/>
  </bookViews>
  <sheets>
    <sheet name="Лист1" sheetId="1" r:id="rId1"/>
    <sheet name="Лист9" sheetId="9" r:id="rId2"/>
    <sheet name="Лист2" sheetId="2" r:id="rId3"/>
    <sheet name="Лист3" sheetId="3" r:id="rId4"/>
    <sheet name="Лист4" sheetId="4" r:id="rId5"/>
    <sheet name="Лист5" sheetId="5" r:id="rId6"/>
    <sheet name="Лист6" sheetId="6" r:id="rId7"/>
    <sheet name="Лист7" sheetId="7" r:id="rId8"/>
    <sheet name="Лист13" sheetId="13" r:id="rId9"/>
    <sheet name="Лист8" sheetId="8" r:id="rId10"/>
    <sheet name="Лист10" sheetId="10" r:id="rId11"/>
    <sheet name="Лист11" sheetId="11" r:id="rId12"/>
    <sheet name="Лист12" sheetId="12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V35" i="7" l="1"/>
  <c r="V34" i="7"/>
  <c r="Z11" i="1"/>
  <c r="W10" i="1"/>
  <c r="E4" i="4"/>
  <c r="E8" i="4"/>
  <c r="E9" i="2"/>
  <c r="E7" i="3"/>
  <c r="E5" i="2"/>
  <c r="J3" i="7" l="1"/>
  <c r="W26" i="7"/>
  <c r="G4" i="7"/>
  <c r="G3" i="7"/>
  <c r="X2" i="1" l="1"/>
  <c r="E4" i="5"/>
  <c r="W6" i="1" l="1"/>
  <c r="W5" i="1"/>
</calcChain>
</file>

<file path=xl/sharedStrings.xml><?xml version="1.0" encoding="utf-8"?>
<sst xmlns="http://schemas.openxmlformats.org/spreadsheetml/2006/main" count="16" uniqueCount="8">
  <si>
    <t>АЧХ ОУ 82,398 Гц</t>
  </si>
  <si>
    <t>f, Гц</t>
  </si>
  <si>
    <t>АЧХ, дБ</t>
  </si>
  <si>
    <t>20 дБ</t>
  </si>
  <si>
    <t>40 дБ</t>
  </si>
  <si>
    <t>Гц</t>
  </si>
  <si>
    <t>Ачх</t>
  </si>
  <si>
    <t>237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</si>
</sst>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434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616892701358274E-2"/>
          <c:y val="2.4102979245557772E-2"/>
          <c:w val="0.92177072736139598"/>
          <c:h val="0.95179404150888447"/>
        </c:manualLayout>
      </c:layout>
      <c:scatterChart>
        <c:scatterStyle val="lineMarker"/>
        <c:varyColors val="0"/>
        <c:ser>
          <c:idx val="0"/>
          <c:order val="0"/>
          <c:tx>
            <c:v>АЧХ ОУ,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Лист1!$A$1:$A$101</c:f>
              <c:numCache>
                <c:formatCode>General</c:formatCode>
                <c:ptCount val="10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  <c:pt idx="51">
                  <c:v>125892.54120000001</c:v>
                </c:pt>
                <c:pt idx="52">
                  <c:v>158489.3192</c:v>
                </c:pt>
                <c:pt idx="53">
                  <c:v>199526.23149999999</c:v>
                </c:pt>
                <c:pt idx="54">
                  <c:v>251188.64319999999</c:v>
                </c:pt>
                <c:pt idx="55">
                  <c:v>316227.766</c:v>
                </c:pt>
                <c:pt idx="56">
                  <c:v>398107.17060000001</c:v>
                </c:pt>
                <c:pt idx="57">
                  <c:v>501187.23359999998</c:v>
                </c:pt>
                <c:pt idx="58">
                  <c:v>630957.34450000001</c:v>
                </c:pt>
                <c:pt idx="59">
                  <c:v>794328.23470000003</c:v>
                </c:pt>
                <c:pt idx="60">
                  <c:v>1000000</c:v>
                </c:pt>
                <c:pt idx="61">
                  <c:v>1258925.412</c:v>
                </c:pt>
                <c:pt idx="62">
                  <c:v>1584893.192</c:v>
                </c:pt>
                <c:pt idx="63">
                  <c:v>1995262.3149999999</c:v>
                </c:pt>
                <c:pt idx="64">
                  <c:v>2511886.432</c:v>
                </c:pt>
                <c:pt idx="65">
                  <c:v>3162277.66</c:v>
                </c:pt>
                <c:pt idx="66">
                  <c:v>3981071.7059999998</c:v>
                </c:pt>
                <c:pt idx="67">
                  <c:v>5011872.3360000001</c:v>
                </c:pt>
                <c:pt idx="68">
                  <c:v>6309573.4450000003</c:v>
                </c:pt>
                <c:pt idx="69">
                  <c:v>7943282.3470000001</c:v>
                </c:pt>
                <c:pt idx="70">
                  <c:v>10000000</c:v>
                </c:pt>
                <c:pt idx="71">
                  <c:v>12589254.119999999</c:v>
                </c:pt>
                <c:pt idx="72">
                  <c:v>15848931.92</c:v>
                </c:pt>
                <c:pt idx="73">
                  <c:v>19952623.149999999</c:v>
                </c:pt>
                <c:pt idx="74">
                  <c:v>25118864.32</c:v>
                </c:pt>
                <c:pt idx="75">
                  <c:v>31622776.600000001</c:v>
                </c:pt>
                <c:pt idx="76">
                  <c:v>39810717.060000002</c:v>
                </c:pt>
                <c:pt idx="77">
                  <c:v>50118723.359999999</c:v>
                </c:pt>
                <c:pt idx="78">
                  <c:v>63095734.450000003</c:v>
                </c:pt>
                <c:pt idx="79">
                  <c:v>79432823.469999999</c:v>
                </c:pt>
                <c:pt idx="80">
                  <c:v>100000000</c:v>
                </c:pt>
                <c:pt idx="81">
                  <c:v>125892541.2</c:v>
                </c:pt>
                <c:pt idx="82">
                  <c:v>158489319.19999999</c:v>
                </c:pt>
                <c:pt idx="83">
                  <c:v>199526231.5</c:v>
                </c:pt>
                <c:pt idx="84">
                  <c:v>251188643.19999999</c:v>
                </c:pt>
                <c:pt idx="85">
                  <c:v>316227766</c:v>
                </c:pt>
                <c:pt idx="86">
                  <c:v>398107170.60000002</c:v>
                </c:pt>
                <c:pt idx="87">
                  <c:v>501187233.60000002</c:v>
                </c:pt>
                <c:pt idx="88">
                  <c:v>630957344.5</c:v>
                </c:pt>
                <c:pt idx="89">
                  <c:v>794328234.70000005</c:v>
                </c:pt>
                <c:pt idx="90">
                  <c:v>1000000000</c:v>
                </c:pt>
                <c:pt idx="91">
                  <c:v>1258925412</c:v>
                </c:pt>
                <c:pt idx="92">
                  <c:v>1584893192</c:v>
                </c:pt>
                <c:pt idx="93">
                  <c:v>1995262315</c:v>
                </c:pt>
                <c:pt idx="94">
                  <c:v>2511886432</c:v>
                </c:pt>
                <c:pt idx="95">
                  <c:v>3162277660</c:v>
                </c:pt>
                <c:pt idx="96">
                  <c:v>3981071706</c:v>
                </c:pt>
                <c:pt idx="97">
                  <c:v>5011872336</c:v>
                </c:pt>
                <c:pt idx="98">
                  <c:v>6309573445</c:v>
                </c:pt>
                <c:pt idx="99">
                  <c:v>7943282347</c:v>
                </c:pt>
                <c:pt idx="100" formatCode="0.00E+00">
                  <c:v>10000000000</c:v>
                </c:pt>
              </c:numCache>
            </c:numRef>
          </c:xVal>
          <c:yVal>
            <c:numRef>
              <c:f>Лист1!$B$1:$B$101</c:f>
              <c:numCache>
                <c:formatCode>General</c:formatCode>
                <c:ptCount val="101"/>
                <c:pt idx="0">
                  <c:v>82.397999999999996</c:v>
                </c:pt>
                <c:pt idx="1">
                  <c:v>82.397999999999996</c:v>
                </c:pt>
                <c:pt idx="2">
                  <c:v>82.397999999999996</c:v>
                </c:pt>
                <c:pt idx="3">
                  <c:v>82.397999999999996</c:v>
                </c:pt>
                <c:pt idx="4">
                  <c:v>82.397999999999996</c:v>
                </c:pt>
                <c:pt idx="5">
                  <c:v>82.397999999999996</c:v>
                </c:pt>
                <c:pt idx="6">
                  <c:v>82.397999999999996</c:v>
                </c:pt>
                <c:pt idx="7">
                  <c:v>82.397999999999996</c:v>
                </c:pt>
                <c:pt idx="8">
                  <c:v>82.397999999999996</c:v>
                </c:pt>
                <c:pt idx="9">
                  <c:v>82.397999999999996</c:v>
                </c:pt>
                <c:pt idx="10">
                  <c:v>82.397999999999996</c:v>
                </c:pt>
                <c:pt idx="11">
                  <c:v>82.397999999999996</c:v>
                </c:pt>
                <c:pt idx="12">
                  <c:v>82.397999999999996</c:v>
                </c:pt>
                <c:pt idx="13">
                  <c:v>82.397999999999996</c:v>
                </c:pt>
                <c:pt idx="14">
                  <c:v>82.397999999999996</c:v>
                </c:pt>
                <c:pt idx="15">
                  <c:v>82.397900000000007</c:v>
                </c:pt>
                <c:pt idx="16">
                  <c:v>82.397900000000007</c:v>
                </c:pt>
                <c:pt idx="17">
                  <c:v>82.397900000000007</c:v>
                </c:pt>
                <c:pt idx="18">
                  <c:v>82.397900000000007</c:v>
                </c:pt>
                <c:pt idx="19">
                  <c:v>82.397900000000007</c:v>
                </c:pt>
                <c:pt idx="20">
                  <c:v>82.397800000000004</c:v>
                </c:pt>
                <c:pt idx="21">
                  <c:v>82.397800000000004</c:v>
                </c:pt>
                <c:pt idx="22">
                  <c:v>82.397599999999997</c:v>
                </c:pt>
                <c:pt idx="23">
                  <c:v>82.397400000000005</c:v>
                </c:pt>
                <c:pt idx="24">
                  <c:v>82.397099999999995</c:v>
                </c:pt>
                <c:pt idx="25">
                  <c:v>82.396699999999996</c:v>
                </c:pt>
                <c:pt idx="26">
                  <c:v>82.395899999999997</c:v>
                </c:pt>
                <c:pt idx="27">
                  <c:v>82.3947</c:v>
                </c:pt>
                <c:pt idx="28">
                  <c:v>82.392799999999994</c:v>
                </c:pt>
                <c:pt idx="29">
                  <c:v>82.389799999999994</c:v>
                </c:pt>
                <c:pt idx="30">
                  <c:v>82.385000000000005</c:v>
                </c:pt>
                <c:pt idx="31">
                  <c:v>82.377399999999994</c:v>
                </c:pt>
                <c:pt idx="32">
                  <c:v>82.365499999999997</c:v>
                </c:pt>
                <c:pt idx="33">
                  <c:v>82.346599999999995</c:v>
                </c:pt>
                <c:pt idx="34">
                  <c:v>82.316800000000001</c:v>
                </c:pt>
                <c:pt idx="35">
                  <c:v>82.270099999999999</c:v>
                </c:pt>
                <c:pt idx="36">
                  <c:v>82.197000000000003</c:v>
                </c:pt>
                <c:pt idx="37">
                  <c:v>82.083600000000004</c:v>
                </c:pt>
                <c:pt idx="38">
                  <c:v>81.909800000000004</c:v>
                </c:pt>
                <c:pt idx="39">
                  <c:v>81.647800000000004</c:v>
                </c:pt>
                <c:pt idx="40">
                  <c:v>81.262500000000003</c:v>
                </c:pt>
                <c:pt idx="41">
                  <c:v>80.714200000000005</c:v>
                </c:pt>
                <c:pt idx="42">
                  <c:v>79.966099999999997</c:v>
                </c:pt>
                <c:pt idx="43">
                  <c:v>78.994299999999996</c:v>
                </c:pt>
                <c:pt idx="44">
                  <c:v>77.795900000000003</c:v>
                </c:pt>
                <c:pt idx="45">
                  <c:v>76.390199999999993</c:v>
                </c:pt>
                <c:pt idx="46">
                  <c:v>74.811899999999994</c:v>
                </c:pt>
                <c:pt idx="47">
                  <c:v>73.100700000000003</c:v>
                </c:pt>
                <c:pt idx="48">
                  <c:v>71.293300000000002</c:v>
                </c:pt>
                <c:pt idx="49">
                  <c:v>69.419399999999996</c:v>
                </c:pt>
                <c:pt idx="50">
                  <c:v>67.500900000000001</c:v>
                </c:pt>
                <c:pt idx="51">
                  <c:v>65.553100000000001</c:v>
                </c:pt>
                <c:pt idx="52">
                  <c:v>63.586399999999998</c:v>
                </c:pt>
                <c:pt idx="53">
                  <c:v>61.607500000000002</c:v>
                </c:pt>
                <c:pt idx="54">
                  <c:v>59.620899999999999</c:v>
                </c:pt>
                <c:pt idx="55">
                  <c:v>57.629399999999997</c:v>
                </c:pt>
                <c:pt idx="56">
                  <c:v>55.634700000000002</c:v>
                </c:pt>
                <c:pt idx="57">
                  <c:v>53.638100000000001</c:v>
                </c:pt>
                <c:pt idx="58">
                  <c:v>51.6402</c:v>
                </c:pt>
                <c:pt idx="59">
                  <c:v>49.641599999999997</c:v>
                </c:pt>
                <c:pt idx="60">
                  <c:v>47.642400000000002</c:v>
                </c:pt>
                <c:pt idx="61">
                  <c:v>45.642899999999997</c:v>
                </c:pt>
                <c:pt idx="62">
                  <c:v>43.643300000000004</c:v>
                </c:pt>
                <c:pt idx="63">
                  <c:v>41.643500000000003</c:v>
                </c:pt>
                <c:pt idx="64">
                  <c:v>39.643599999999999</c:v>
                </c:pt>
                <c:pt idx="65">
                  <c:v>37.643700000000003</c:v>
                </c:pt>
                <c:pt idx="66">
                  <c:v>35.643700000000003</c:v>
                </c:pt>
                <c:pt idx="67">
                  <c:v>33.643700000000003</c:v>
                </c:pt>
                <c:pt idx="68">
                  <c:v>31.643599999999999</c:v>
                </c:pt>
                <c:pt idx="69">
                  <c:v>29.6435</c:v>
                </c:pt>
                <c:pt idx="70">
                  <c:v>27.6433</c:v>
                </c:pt>
                <c:pt idx="71">
                  <c:v>25.642900000000001</c:v>
                </c:pt>
                <c:pt idx="72">
                  <c:v>23.642299999999999</c:v>
                </c:pt>
                <c:pt idx="73">
                  <c:v>21.641500000000001</c:v>
                </c:pt>
                <c:pt idx="74">
                  <c:v>19.6401</c:v>
                </c:pt>
                <c:pt idx="75">
                  <c:v>17.637799999999999</c:v>
                </c:pt>
                <c:pt idx="76">
                  <c:v>15.6343</c:v>
                </c:pt>
                <c:pt idx="77">
                  <c:v>13.6288</c:v>
                </c:pt>
                <c:pt idx="78">
                  <c:v>11.62</c:v>
                </c:pt>
                <c:pt idx="79">
                  <c:v>9.6060099999999995</c:v>
                </c:pt>
                <c:pt idx="80">
                  <c:v>7.58399</c:v>
                </c:pt>
                <c:pt idx="81">
                  <c:v>5.5492800000000004</c:v>
                </c:pt>
                <c:pt idx="82">
                  <c:v>3.49472</c:v>
                </c:pt>
                <c:pt idx="83">
                  <c:v>1.40934</c:v>
                </c:pt>
                <c:pt idx="84">
                  <c:v>-0.72330000000000005</c:v>
                </c:pt>
                <c:pt idx="85">
                  <c:v>-2.9272399999999998</c:v>
                </c:pt>
                <c:pt idx="86">
                  <c:v>-5.2360800000000003</c:v>
                </c:pt>
                <c:pt idx="87">
                  <c:v>-7.6940799999999996</c:v>
                </c:pt>
                <c:pt idx="88">
                  <c:v>-10.354900000000001</c:v>
                </c:pt>
                <c:pt idx="89">
                  <c:v>-13.277200000000001</c:v>
                </c:pt>
                <c:pt idx="90">
                  <c:v>-16.517199999999999</c:v>
                </c:pt>
                <c:pt idx="91">
                  <c:v>-20.121099999999998</c:v>
                </c:pt>
                <c:pt idx="92">
                  <c:v>-24.121400000000001</c:v>
                </c:pt>
                <c:pt idx="93">
                  <c:v>-28.535399999999999</c:v>
                </c:pt>
                <c:pt idx="94">
                  <c:v>-33.365900000000003</c:v>
                </c:pt>
                <c:pt idx="95">
                  <c:v>-38.603400000000001</c:v>
                </c:pt>
                <c:pt idx="96">
                  <c:v>-44.2301</c:v>
                </c:pt>
                <c:pt idx="97">
                  <c:v>-50.226700000000001</c:v>
                </c:pt>
                <c:pt idx="98">
                  <c:v>-56.575800000000001</c:v>
                </c:pt>
                <c:pt idx="99">
                  <c:v>-63.258499999999998</c:v>
                </c:pt>
                <c:pt idx="100">
                  <c:v>-70.247699999999995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B-4643-826F-A3DA94A283B6}"/>
            </c:ext>
          </c:extLst>
        </c:ser>
        <c:ser>
          <c:idx val="1"/>
          <c:order val="1"/>
          <c:tx>
            <c:v>АЧХ ОУmax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Лист1!$V$5:$V$6</c:f>
              <c:numCache>
                <c:formatCode>General</c:formatCode>
                <c:ptCount val="2"/>
                <c:pt idx="0">
                  <c:v>1</c:v>
                </c:pt>
                <c:pt idx="1">
                  <c:v>10000000000</c:v>
                </c:pt>
              </c:numCache>
            </c:numRef>
          </c:xVal>
          <c:yVal>
            <c:numRef>
              <c:f>Лист1!$W$5:$W$6</c:f>
              <c:numCache>
                <c:formatCode>General</c:formatCode>
                <c:ptCount val="2"/>
                <c:pt idx="0">
                  <c:v>79.387999999999991</c:v>
                </c:pt>
                <c:pt idx="1">
                  <c:v>79.387999999999991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6B-4643-826F-A3DA94A283B6}"/>
            </c:ext>
          </c:extLst>
        </c:ser>
        <c:ser>
          <c:idx val="2"/>
          <c:order val="2"/>
          <c:tx>
            <c:v>-20 дБ/дек</c:v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Лист1!$V$10:$V$14</c:f>
              <c:numCache>
                <c:formatCode>General</c:formatCode>
                <c:ptCount val="5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  <c:pt idx="3">
                  <c:v>10000000</c:v>
                </c:pt>
                <c:pt idx="4">
                  <c:v>100000000</c:v>
                </c:pt>
              </c:numCache>
            </c:numRef>
          </c:xVal>
          <c:yVal>
            <c:numRef>
              <c:f>Лист1!$W$10:$W$14</c:f>
              <c:numCache>
                <c:formatCode>General</c:formatCode>
                <c:ptCount val="5"/>
                <c:pt idx="0">
                  <c:v>87.500900000000001</c:v>
                </c:pt>
                <c:pt idx="1">
                  <c:v>67.500900000000001</c:v>
                </c:pt>
                <c:pt idx="2">
                  <c:v>47.642400000000002</c:v>
                </c:pt>
                <c:pt idx="3">
                  <c:v>27.6433</c:v>
                </c:pt>
                <c:pt idx="4">
                  <c:v>7.58399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6B-4643-826F-A3DA94A283B6}"/>
            </c:ext>
          </c:extLst>
        </c:ser>
        <c:ser>
          <c:idx val="3"/>
          <c:order val="3"/>
          <c:tx>
            <c:v>-40 дБ/дек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Лист1!$Y$10:$Y$12</c:f>
              <c:numCache>
                <c:formatCode>0.00E+00</c:formatCode>
                <c:ptCount val="3"/>
                <c:pt idx="0">
                  <c:v>10000000000</c:v>
                </c:pt>
                <c:pt idx="1">
                  <c:v>2400000000</c:v>
                </c:pt>
                <c:pt idx="2">
                  <c:v>1000000000</c:v>
                </c:pt>
              </c:numCache>
            </c:numRef>
          </c:xVal>
          <c:yVal>
            <c:numRef>
              <c:f>Лист1!$Z$10:$Z$12</c:f>
              <c:numCache>
                <c:formatCode>General</c:formatCode>
                <c:ptCount val="3"/>
                <c:pt idx="0">
                  <c:v>-70.247699999999995</c:v>
                </c:pt>
                <c:pt idx="1">
                  <c:v>-30.247699999999995</c:v>
                </c:pt>
                <c:pt idx="2">
                  <c:v>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6B-4643-826F-A3DA94A28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483839"/>
        <c:axId val="532266895"/>
      </c:scatterChart>
      <c:valAx>
        <c:axId val="5374838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66895"/>
        <c:crosses val="autoZero"/>
        <c:crossBetween val="midCat"/>
      </c:valAx>
      <c:valAx>
        <c:axId val="53226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48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54404705304074"/>
          <c:y val="0.17114626128859525"/>
          <c:w val="0.17016847590636644"/>
          <c:h val="0.18642207900906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616892701358274E-2"/>
          <c:y val="2.4102979245557772E-2"/>
          <c:w val="0.92177072736139598"/>
          <c:h val="0.95179404150888447"/>
        </c:manualLayout>
      </c:layout>
      <c:scatterChart>
        <c:scatterStyle val="lineMarker"/>
        <c:varyColors val="0"/>
        <c:ser>
          <c:idx val="0"/>
          <c:order val="0"/>
          <c:tx>
            <c:v>АЧХ ОУ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Лист1!$A$1:$A$101</c:f>
              <c:numCache>
                <c:formatCode>General</c:formatCode>
                <c:ptCount val="10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  <c:pt idx="51">
                  <c:v>125892.54120000001</c:v>
                </c:pt>
                <c:pt idx="52">
                  <c:v>158489.3192</c:v>
                </c:pt>
                <c:pt idx="53">
                  <c:v>199526.23149999999</c:v>
                </c:pt>
                <c:pt idx="54">
                  <c:v>251188.64319999999</c:v>
                </c:pt>
                <c:pt idx="55">
                  <c:v>316227.766</c:v>
                </c:pt>
                <c:pt idx="56">
                  <c:v>398107.17060000001</c:v>
                </c:pt>
                <c:pt idx="57">
                  <c:v>501187.23359999998</c:v>
                </c:pt>
                <c:pt idx="58">
                  <c:v>630957.34450000001</c:v>
                </c:pt>
                <c:pt idx="59">
                  <c:v>794328.23470000003</c:v>
                </c:pt>
                <c:pt idx="60">
                  <c:v>1000000</c:v>
                </c:pt>
                <c:pt idx="61">
                  <c:v>1258925.412</c:v>
                </c:pt>
                <c:pt idx="62">
                  <c:v>1584893.192</c:v>
                </c:pt>
                <c:pt idx="63">
                  <c:v>1995262.3149999999</c:v>
                </c:pt>
                <c:pt idx="64">
                  <c:v>2511886.432</c:v>
                </c:pt>
                <c:pt idx="65">
                  <c:v>3162277.66</c:v>
                </c:pt>
                <c:pt idx="66">
                  <c:v>3981071.7059999998</c:v>
                </c:pt>
                <c:pt idx="67">
                  <c:v>5011872.3360000001</c:v>
                </c:pt>
                <c:pt idx="68">
                  <c:v>6309573.4450000003</c:v>
                </c:pt>
                <c:pt idx="69">
                  <c:v>7943282.3470000001</c:v>
                </c:pt>
                <c:pt idx="70">
                  <c:v>10000000</c:v>
                </c:pt>
                <c:pt idx="71">
                  <c:v>12589254.119999999</c:v>
                </c:pt>
                <c:pt idx="72">
                  <c:v>15848931.92</c:v>
                </c:pt>
                <c:pt idx="73">
                  <c:v>19952623.149999999</c:v>
                </c:pt>
                <c:pt idx="74">
                  <c:v>25118864.32</c:v>
                </c:pt>
                <c:pt idx="75">
                  <c:v>31622776.600000001</c:v>
                </c:pt>
                <c:pt idx="76">
                  <c:v>39810717.060000002</c:v>
                </c:pt>
                <c:pt idx="77">
                  <c:v>50118723.359999999</c:v>
                </c:pt>
                <c:pt idx="78">
                  <c:v>63095734.450000003</c:v>
                </c:pt>
                <c:pt idx="79">
                  <c:v>79432823.469999999</c:v>
                </c:pt>
                <c:pt idx="80">
                  <c:v>100000000</c:v>
                </c:pt>
                <c:pt idx="81">
                  <c:v>125892541.2</c:v>
                </c:pt>
                <c:pt idx="82">
                  <c:v>158489319.19999999</c:v>
                </c:pt>
                <c:pt idx="83">
                  <c:v>199526231.5</c:v>
                </c:pt>
                <c:pt idx="84">
                  <c:v>251188643.19999999</c:v>
                </c:pt>
                <c:pt idx="85">
                  <c:v>316227766</c:v>
                </c:pt>
                <c:pt idx="86">
                  <c:v>398107170.60000002</c:v>
                </c:pt>
                <c:pt idx="87">
                  <c:v>501187233.60000002</c:v>
                </c:pt>
                <c:pt idx="88">
                  <c:v>630957344.5</c:v>
                </c:pt>
                <c:pt idx="89">
                  <c:v>794328234.70000005</c:v>
                </c:pt>
                <c:pt idx="90">
                  <c:v>1000000000</c:v>
                </c:pt>
                <c:pt idx="91">
                  <c:v>1258925412</c:v>
                </c:pt>
                <c:pt idx="92">
                  <c:v>1584893192</c:v>
                </c:pt>
                <c:pt idx="93">
                  <c:v>1995262315</c:v>
                </c:pt>
                <c:pt idx="94">
                  <c:v>2511886432</c:v>
                </c:pt>
                <c:pt idx="95">
                  <c:v>3162277660</c:v>
                </c:pt>
                <c:pt idx="96">
                  <c:v>3981071706</c:v>
                </c:pt>
                <c:pt idx="97">
                  <c:v>5011872336</c:v>
                </c:pt>
                <c:pt idx="98">
                  <c:v>6309573445</c:v>
                </c:pt>
                <c:pt idx="99">
                  <c:v>7943282347</c:v>
                </c:pt>
                <c:pt idx="100" formatCode="0.00E+00">
                  <c:v>10000000000</c:v>
                </c:pt>
              </c:numCache>
            </c:numRef>
          </c:xVal>
          <c:yVal>
            <c:numRef>
              <c:f>Лист1!$B$1:$B$101</c:f>
              <c:numCache>
                <c:formatCode>General</c:formatCode>
                <c:ptCount val="101"/>
                <c:pt idx="0">
                  <c:v>82.397999999999996</c:v>
                </c:pt>
                <c:pt idx="1">
                  <c:v>82.397999999999996</c:v>
                </c:pt>
                <c:pt idx="2">
                  <c:v>82.397999999999996</c:v>
                </c:pt>
                <c:pt idx="3">
                  <c:v>82.397999999999996</c:v>
                </c:pt>
                <c:pt idx="4">
                  <c:v>82.397999999999996</c:v>
                </c:pt>
                <c:pt idx="5">
                  <c:v>82.397999999999996</c:v>
                </c:pt>
                <c:pt idx="6">
                  <c:v>82.397999999999996</c:v>
                </c:pt>
                <c:pt idx="7">
                  <c:v>82.397999999999996</c:v>
                </c:pt>
                <c:pt idx="8">
                  <c:v>82.397999999999996</c:v>
                </c:pt>
                <c:pt idx="9">
                  <c:v>82.397999999999996</c:v>
                </c:pt>
                <c:pt idx="10">
                  <c:v>82.397999999999996</c:v>
                </c:pt>
                <c:pt idx="11">
                  <c:v>82.397999999999996</c:v>
                </c:pt>
                <c:pt idx="12">
                  <c:v>82.397999999999996</c:v>
                </c:pt>
                <c:pt idx="13">
                  <c:v>82.397999999999996</c:v>
                </c:pt>
                <c:pt idx="14">
                  <c:v>82.397999999999996</c:v>
                </c:pt>
                <c:pt idx="15">
                  <c:v>82.397900000000007</c:v>
                </c:pt>
                <c:pt idx="16">
                  <c:v>82.397900000000007</c:v>
                </c:pt>
                <c:pt idx="17">
                  <c:v>82.397900000000007</c:v>
                </c:pt>
                <c:pt idx="18">
                  <c:v>82.397900000000007</c:v>
                </c:pt>
                <c:pt idx="19">
                  <c:v>82.397900000000007</c:v>
                </c:pt>
                <c:pt idx="20">
                  <c:v>82.397800000000004</c:v>
                </c:pt>
                <c:pt idx="21">
                  <c:v>82.397800000000004</c:v>
                </c:pt>
                <c:pt idx="22">
                  <c:v>82.397599999999997</c:v>
                </c:pt>
                <c:pt idx="23">
                  <c:v>82.397400000000005</c:v>
                </c:pt>
                <c:pt idx="24">
                  <c:v>82.397099999999995</c:v>
                </c:pt>
                <c:pt idx="25">
                  <c:v>82.396699999999996</c:v>
                </c:pt>
                <c:pt idx="26">
                  <c:v>82.395899999999997</c:v>
                </c:pt>
                <c:pt idx="27">
                  <c:v>82.3947</c:v>
                </c:pt>
                <c:pt idx="28">
                  <c:v>82.392799999999994</c:v>
                </c:pt>
                <c:pt idx="29">
                  <c:v>82.389799999999994</c:v>
                </c:pt>
                <c:pt idx="30">
                  <c:v>82.385000000000005</c:v>
                </c:pt>
                <c:pt idx="31">
                  <c:v>82.377399999999994</c:v>
                </c:pt>
                <c:pt idx="32">
                  <c:v>82.365499999999997</c:v>
                </c:pt>
                <c:pt idx="33">
                  <c:v>82.346599999999995</c:v>
                </c:pt>
                <c:pt idx="34">
                  <c:v>82.316800000000001</c:v>
                </c:pt>
                <c:pt idx="35">
                  <c:v>82.270099999999999</c:v>
                </c:pt>
                <c:pt idx="36">
                  <c:v>82.197000000000003</c:v>
                </c:pt>
                <c:pt idx="37">
                  <c:v>82.083600000000004</c:v>
                </c:pt>
                <c:pt idx="38">
                  <c:v>81.909800000000004</c:v>
                </c:pt>
                <c:pt idx="39">
                  <c:v>81.647800000000004</c:v>
                </c:pt>
                <c:pt idx="40">
                  <c:v>81.262500000000003</c:v>
                </c:pt>
                <c:pt idx="41">
                  <c:v>80.714200000000005</c:v>
                </c:pt>
                <c:pt idx="42">
                  <c:v>79.966099999999997</c:v>
                </c:pt>
                <c:pt idx="43">
                  <c:v>78.994299999999996</c:v>
                </c:pt>
                <c:pt idx="44">
                  <c:v>77.795900000000003</c:v>
                </c:pt>
                <c:pt idx="45">
                  <c:v>76.390199999999993</c:v>
                </c:pt>
                <c:pt idx="46">
                  <c:v>74.811899999999994</c:v>
                </c:pt>
                <c:pt idx="47">
                  <c:v>73.100700000000003</c:v>
                </c:pt>
                <c:pt idx="48">
                  <c:v>71.293300000000002</c:v>
                </c:pt>
                <c:pt idx="49">
                  <c:v>69.419399999999996</c:v>
                </c:pt>
                <c:pt idx="50">
                  <c:v>67.500900000000001</c:v>
                </c:pt>
                <c:pt idx="51">
                  <c:v>65.553100000000001</c:v>
                </c:pt>
                <c:pt idx="52">
                  <c:v>63.586399999999998</c:v>
                </c:pt>
                <c:pt idx="53">
                  <c:v>61.607500000000002</c:v>
                </c:pt>
                <c:pt idx="54">
                  <c:v>59.620899999999999</c:v>
                </c:pt>
                <c:pt idx="55">
                  <c:v>57.629399999999997</c:v>
                </c:pt>
                <c:pt idx="56">
                  <c:v>55.634700000000002</c:v>
                </c:pt>
                <c:pt idx="57">
                  <c:v>53.638100000000001</c:v>
                </c:pt>
                <c:pt idx="58">
                  <c:v>51.6402</c:v>
                </c:pt>
                <c:pt idx="59">
                  <c:v>49.641599999999997</c:v>
                </c:pt>
                <c:pt idx="60">
                  <c:v>47.642400000000002</c:v>
                </c:pt>
                <c:pt idx="61">
                  <c:v>45.642899999999997</c:v>
                </c:pt>
                <c:pt idx="62">
                  <c:v>43.643300000000004</c:v>
                </c:pt>
                <c:pt idx="63">
                  <c:v>41.643500000000003</c:v>
                </c:pt>
                <c:pt idx="64">
                  <c:v>39.643599999999999</c:v>
                </c:pt>
                <c:pt idx="65">
                  <c:v>37.643700000000003</c:v>
                </c:pt>
                <c:pt idx="66">
                  <c:v>35.643700000000003</c:v>
                </c:pt>
                <c:pt idx="67">
                  <c:v>33.643700000000003</c:v>
                </c:pt>
                <c:pt idx="68">
                  <c:v>31.643599999999999</c:v>
                </c:pt>
                <c:pt idx="69">
                  <c:v>29.6435</c:v>
                </c:pt>
                <c:pt idx="70">
                  <c:v>27.6433</c:v>
                </c:pt>
                <c:pt idx="71">
                  <c:v>25.642900000000001</c:v>
                </c:pt>
                <c:pt idx="72">
                  <c:v>23.642299999999999</c:v>
                </c:pt>
                <c:pt idx="73">
                  <c:v>21.641500000000001</c:v>
                </c:pt>
                <c:pt idx="74">
                  <c:v>19.6401</c:v>
                </c:pt>
                <c:pt idx="75">
                  <c:v>17.637799999999999</c:v>
                </c:pt>
                <c:pt idx="76">
                  <c:v>15.6343</c:v>
                </c:pt>
                <c:pt idx="77">
                  <c:v>13.6288</c:v>
                </c:pt>
                <c:pt idx="78">
                  <c:v>11.62</c:v>
                </c:pt>
                <c:pt idx="79">
                  <c:v>9.6060099999999995</c:v>
                </c:pt>
                <c:pt idx="80">
                  <c:v>7.58399</c:v>
                </c:pt>
                <c:pt idx="81">
                  <c:v>5.5492800000000004</c:v>
                </c:pt>
                <c:pt idx="82">
                  <c:v>3.49472</c:v>
                </c:pt>
                <c:pt idx="83">
                  <c:v>1.40934</c:v>
                </c:pt>
                <c:pt idx="84">
                  <c:v>-0.72330000000000005</c:v>
                </c:pt>
                <c:pt idx="85">
                  <c:v>-2.9272399999999998</c:v>
                </c:pt>
                <c:pt idx="86">
                  <c:v>-5.2360800000000003</c:v>
                </c:pt>
                <c:pt idx="87">
                  <c:v>-7.6940799999999996</c:v>
                </c:pt>
                <c:pt idx="88">
                  <c:v>-10.354900000000001</c:v>
                </c:pt>
                <c:pt idx="89">
                  <c:v>-13.277200000000001</c:v>
                </c:pt>
                <c:pt idx="90">
                  <c:v>-16.517199999999999</c:v>
                </c:pt>
                <c:pt idx="91">
                  <c:v>-20.121099999999998</c:v>
                </c:pt>
                <c:pt idx="92">
                  <c:v>-24.121400000000001</c:v>
                </c:pt>
                <c:pt idx="93">
                  <c:v>-28.535399999999999</c:v>
                </c:pt>
                <c:pt idx="94">
                  <c:v>-33.365900000000003</c:v>
                </c:pt>
                <c:pt idx="95">
                  <c:v>-38.603400000000001</c:v>
                </c:pt>
                <c:pt idx="96">
                  <c:v>-44.2301</c:v>
                </c:pt>
                <c:pt idx="97">
                  <c:v>-50.226700000000001</c:v>
                </c:pt>
                <c:pt idx="98">
                  <c:v>-56.575800000000001</c:v>
                </c:pt>
                <c:pt idx="99">
                  <c:v>-63.258499999999998</c:v>
                </c:pt>
                <c:pt idx="100">
                  <c:v>-70.247699999999995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62-4A3C-BFE1-FC75924C341D}"/>
            </c:ext>
          </c:extLst>
        </c:ser>
        <c:ser>
          <c:idx val="1"/>
          <c:order val="1"/>
          <c:tx>
            <c:v>АЧХ ОYmax - 3, 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Лист1!$V$5:$V$6</c:f>
              <c:numCache>
                <c:formatCode>General</c:formatCode>
                <c:ptCount val="2"/>
                <c:pt idx="0">
                  <c:v>1</c:v>
                </c:pt>
                <c:pt idx="1">
                  <c:v>10000000000</c:v>
                </c:pt>
              </c:numCache>
            </c:numRef>
          </c:xVal>
          <c:yVal>
            <c:numRef>
              <c:f>Лист1!$W$5:$W$6</c:f>
              <c:numCache>
                <c:formatCode>General</c:formatCode>
                <c:ptCount val="2"/>
                <c:pt idx="0">
                  <c:v>79.387999999999991</c:v>
                </c:pt>
                <c:pt idx="1">
                  <c:v>79.387999999999991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62-4A3C-BFE1-FC75924C341D}"/>
            </c:ext>
          </c:extLst>
        </c:ser>
        <c:ser>
          <c:idx val="2"/>
          <c:order val="2"/>
          <c:tx>
            <c:v>-20 дБ/дек</c:v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Лист1!$V$11:$V$14</c:f>
              <c:numCache>
                <c:formatCode>General</c:formatCode>
                <c:ptCount val="4"/>
                <c:pt idx="0">
                  <c:v>100000</c:v>
                </c:pt>
                <c:pt idx="1">
                  <c:v>1000000</c:v>
                </c:pt>
                <c:pt idx="2">
                  <c:v>10000000</c:v>
                </c:pt>
                <c:pt idx="3">
                  <c:v>100000000</c:v>
                </c:pt>
              </c:numCache>
            </c:numRef>
          </c:xVal>
          <c:yVal>
            <c:numRef>
              <c:f>Лист1!$W$11:$W$14</c:f>
              <c:numCache>
                <c:formatCode>General</c:formatCode>
                <c:ptCount val="4"/>
                <c:pt idx="0">
                  <c:v>67.500900000000001</c:v>
                </c:pt>
                <c:pt idx="1">
                  <c:v>47.642400000000002</c:v>
                </c:pt>
                <c:pt idx="2">
                  <c:v>27.6433</c:v>
                </c:pt>
                <c:pt idx="3">
                  <c:v>7.58399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62-4A3C-BFE1-FC75924C341D}"/>
            </c:ext>
          </c:extLst>
        </c:ser>
        <c:ser>
          <c:idx val="3"/>
          <c:order val="3"/>
          <c:tx>
            <c:v>-40 дБ/дек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Лист1!$Y$10:$Y$11</c:f>
              <c:numCache>
                <c:formatCode>0.00E+00</c:formatCode>
                <c:ptCount val="2"/>
                <c:pt idx="0">
                  <c:v>10000000000</c:v>
                </c:pt>
                <c:pt idx="1">
                  <c:v>2400000000</c:v>
                </c:pt>
              </c:numCache>
            </c:numRef>
          </c:xVal>
          <c:yVal>
            <c:numRef>
              <c:f>Лист1!$Z$10:$Z$11</c:f>
              <c:numCache>
                <c:formatCode>General</c:formatCode>
                <c:ptCount val="2"/>
                <c:pt idx="0">
                  <c:v>-70.247699999999995</c:v>
                </c:pt>
                <c:pt idx="1">
                  <c:v>-30.247699999999995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62-4A3C-BFE1-FC75924C3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483839"/>
        <c:axId val="532266895"/>
      </c:scatterChart>
      <c:valAx>
        <c:axId val="537483839"/>
        <c:scaling>
          <c:orientation val="minMax"/>
          <c:max val="25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66895"/>
        <c:crosses val="autoZero"/>
        <c:crossBetween val="midCat"/>
        <c:majorUnit val="2000"/>
        <c:minorUnit val="400"/>
      </c:valAx>
      <c:valAx>
        <c:axId val="532266895"/>
        <c:scaling>
          <c:orientation val="minMax"/>
          <c:max val="82"/>
          <c:min val="7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48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266554367271255"/>
          <c:y val="0.69067976740066128"/>
          <c:w val="0.19561627557749312"/>
          <c:h val="0.14425842852051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Лист2!$A$1:$A$30</c:f>
              <c:numCache>
                <c:formatCode>General</c:formatCode>
                <c:ptCount val="30"/>
                <c:pt idx="0">
                  <c:v>-3.0000000000000001E-3</c:v>
                </c:pt>
                <c:pt idx="1">
                  <c:v>-1.6999999999999999E-3</c:v>
                </c:pt>
                <c:pt idx="2">
                  <c:v>-4.0000000000000002E-4</c:v>
                </c:pt>
                <c:pt idx="3">
                  <c:v>5.1000000000000004E-4</c:v>
                </c:pt>
                <c:pt idx="4">
                  <c:v>1.16E-3</c:v>
                </c:pt>
                <c:pt idx="5">
                  <c:v>1.6800000000000001E-3</c:v>
                </c:pt>
                <c:pt idx="6">
                  <c:v>2.0699999999999998E-3</c:v>
                </c:pt>
                <c:pt idx="7">
                  <c:v>2.33E-3</c:v>
                </c:pt>
                <c:pt idx="8">
                  <c:v>2.5899999999999999E-3</c:v>
                </c:pt>
                <c:pt idx="9">
                  <c:v>2.7200000000000002E-3</c:v>
                </c:pt>
                <c:pt idx="10">
                  <c:v>2.8500000000000001E-3</c:v>
                </c:pt>
                <c:pt idx="11">
                  <c:v>2.98E-3</c:v>
                </c:pt>
                <c:pt idx="12">
                  <c:v>3.1099999999999999E-3</c:v>
                </c:pt>
                <c:pt idx="13">
                  <c:v>3.5000000000000001E-3</c:v>
                </c:pt>
                <c:pt idx="14">
                  <c:v>3.7499999999999999E-3</c:v>
                </c:pt>
                <c:pt idx="15">
                  <c:v>3.8999999999999998E-3</c:v>
                </c:pt>
                <c:pt idx="16">
                  <c:v>4.2300000000000003E-3</c:v>
                </c:pt>
                <c:pt idx="17">
                  <c:v>4.5399999999999998E-3</c:v>
                </c:pt>
                <c:pt idx="18">
                  <c:v>4.7000000000000002E-3</c:v>
                </c:pt>
                <c:pt idx="19">
                  <c:v>4.9300000000000004E-3</c:v>
                </c:pt>
                <c:pt idx="20">
                  <c:v>5.0600000000000003E-3</c:v>
                </c:pt>
                <c:pt idx="21">
                  <c:v>5.1900000000000002E-3</c:v>
                </c:pt>
                <c:pt idx="22">
                  <c:v>5.3200000000000001E-3</c:v>
                </c:pt>
                <c:pt idx="23">
                  <c:v>5.5799999999999999E-3</c:v>
                </c:pt>
                <c:pt idx="24">
                  <c:v>5.9699999999999996E-3</c:v>
                </c:pt>
                <c:pt idx="25">
                  <c:v>6.4900000000000001E-3</c:v>
                </c:pt>
                <c:pt idx="26">
                  <c:v>7.1399999999999996E-3</c:v>
                </c:pt>
                <c:pt idx="27">
                  <c:v>8.0499999999999999E-3</c:v>
                </c:pt>
                <c:pt idx="28">
                  <c:v>9.3500000000000007E-3</c:v>
                </c:pt>
                <c:pt idx="29">
                  <c:v>0.01</c:v>
                </c:pt>
              </c:numCache>
            </c:numRef>
          </c:xVal>
          <c:yVal>
            <c:numRef>
              <c:f>Лист2!$B$1:$B$30</c:f>
              <c:numCache>
                <c:formatCode>General</c:formatCode>
                <c:ptCount val="30"/>
                <c:pt idx="0">
                  <c:v>12.637700000000001</c:v>
                </c:pt>
                <c:pt idx="1">
                  <c:v>12.6313</c:v>
                </c:pt>
                <c:pt idx="2">
                  <c:v>12.623100000000001</c:v>
                </c:pt>
                <c:pt idx="3">
                  <c:v>12.6151</c:v>
                </c:pt>
                <c:pt idx="4">
                  <c:v>12.6075</c:v>
                </c:pt>
                <c:pt idx="5">
                  <c:v>12.5991</c:v>
                </c:pt>
                <c:pt idx="6">
                  <c:v>12.590400000000001</c:v>
                </c:pt>
                <c:pt idx="7">
                  <c:v>12.5824</c:v>
                </c:pt>
                <c:pt idx="8">
                  <c:v>12.5708</c:v>
                </c:pt>
                <c:pt idx="9">
                  <c:v>12.5623</c:v>
                </c:pt>
                <c:pt idx="10">
                  <c:v>12.5496</c:v>
                </c:pt>
                <c:pt idx="11">
                  <c:v>12.522500000000001</c:v>
                </c:pt>
                <c:pt idx="12">
                  <c:v>11.73</c:v>
                </c:pt>
                <c:pt idx="13">
                  <c:v>6.5392000000000001</c:v>
                </c:pt>
                <c:pt idx="14">
                  <c:v>3.2387299999999999</c:v>
                </c:pt>
                <c:pt idx="15">
                  <c:v>1.31</c:v>
                </c:pt>
                <c:pt idx="16">
                  <c:v>-3.06</c:v>
                </c:pt>
                <c:pt idx="17">
                  <c:v>-7.1166299999999998</c:v>
                </c:pt>
                <c:pt idx="18">
                  <c:v>-9.2799999999999994</c:v>
                </c:pt>
                <c:pt idx="19">
                  <c:v>-12.256600000000001</c:v>
                </c:pt>
                <c:pt idx="20">
                  <c:v>-12.533799999999999</c:v>
                </c:pt>
                <c:pt idx="21">
                  <c:v>-12.554399999999999</c:v>
                </c:pt>
                <c:pt idx="22">
                  <c:v>-12.566800000000001</c:v>
                </c:pt>
                <c:pt idx="23">
                  <c:v>-12.579000000000001</c:v>
                </c:pt>
                <c:pt idx="24">
                  <c:v>-12.5915</c:v>
                </c:pt>
                <c:pt idx="25">
                  <c:v>-12.6021</c:v>
                </c:pt>
                <c:pt idx="26">
                  <c:v>-12.6113</c:v>
                </c:pt>
                <c:pt idx="27">
                  <c:v>-12.6203</c:v>
                </c:pt>
                <c:pt idx="28">
                  <c:v>-12.629300000000001</c:v>
                </c:pt>
                <c:pt idx="29">
                  <c:v>-12.632899999999999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38-4ABD-BF92-E0B536305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241247"/>
        <c:axId val="336307231"/>
      </c:scatterChart>
      <c:valAx>
        <c:axId val="330241247"/>
        <c:scaling>
          <c:orientation val="minMax"/>
          <c:max val="1.0000000000000002E-2"/>
          <c:min val="-3.000000000000000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307231"/>
        <c:crosses val="autoZero"/>
        <c:crossBetween val="midCat"/>
      </c:valAx>
      <c:valAx>
        <c:axId val="33630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024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Лист2!$A$1:$A$30</c:f>
              <c:numCache>
                <c:formatCode>General</c:formatCode>
                <c:ptCount val="30"/>
                <c:pt idx="0">
                  <c:v>-3.0000000000000001E-3</c:v>
                </c:pt>
                <c:pt idx="1">
                  <c:v>-1.6999999999999999E-3</c:v>
                </c:pt>
                <c:pt idx="2">
                  <c:v>-4.0000000000000002E-4</c:v>
                </c:pt>
                <c:pt idx="3">
                  <c:v>5.1000000000000004E-4</c:v>
                </c:pt>
                <c:pt idx="4">
                  <c:v>1.16E-3</c:v>
                </c:pt>
                <c:pt idx="5">
                  <c:v>1.6800000000000001E-3</c:v>
                </c:pt>
                <c:pt idx="6">
                  <c:v>2.0699999999999998E-3</c:v>
                </c:pt>
                <c:pt idx="7">
                  <c:v>2.33E-3</c:v>
                </c:pt>
                <c:pt idx="8">
                  <c:v>2.5899999999999999E-3</c:v>
                </c:pt>
                <c:pt idx="9">
                  <c:v>2.7200000000000002E-3</c:v>
                </c:pt>
                <c:pt idx="10">
                  <c:v>2.8500000000000001E-3</c:v>
                </c:pt>
                <c:pt idx="11">
                  <c:v>2.98E-3</c:v>
                </c:pt>
                <c:pt idx="12">
                  <c:v>3.1099999999999999E-3</c:v>
                </c:pt>
                <c:pt idx="13">
                  <c:v>3.5000000000000001E-3</c:v>
                </c:pt>
                <c:pt idx="14">
                  <c:v>3.7499999999999999E-3</c:v>
                </c:pt>
                <c:pt idx="15">
                  <c:v>3.8999999999999998E-3</c:v>
                </c:pt>
                <c:pt idx="16">
                  <c:v>4.2300000000000003E-3</c:v>
                </c:pt>
                <c:pt idx="17">
                  <c:v>4.5399999999999998E-3</c:v>
                </c:pt>
                <c:pt idx="18">
                  <c:v>4.7000000000000002E-3</c:v>
                </c:pt>
                <c:pt idx="19">
                  <c:v>4.9300000000000004E-3</c:v>
                </c:pt>
                <c:pt idx="20">
                  <c:v>5.0600000000000003E-3</c:v>
                </c:pt>
                <c:pt idx="21">
                  <c:v>5.1900000000000002E-3</c:v>
                </c:pt>
                <c:pt idx="22">
                  <c:v>5.3200000000000001E-3</c:v>
                </c:pt>
                <c:pt idx="23">
                  <c:v>5.5799999999999999E-3</c:v>
                </c:pt>
                <c:pt idx="24">
                  <c:v>5.9699999999999996E-3</c:v>
                </c:pt>
                <c:pt idx="25">
                  <c:v>6.4900000000000001E-3</c:v>
                </c:pt>
                <c:pt idx="26">
                  <c:v>7.1399999999999996E-3</c:v>
                </c:pt>
                <c:pt idx="27">
                  <c:v>8.0499999999999999E-3</c:v>
                </c:pt>
                <c:pt idx="28">
                  <c:v>9.3500000000000007E-3</c:v>
                </c:pt>
                <c:pt idx="29">
                  <c:v>0.01</c:v>
                </c:pt>
              </c:numCache>
            </c:numRef>
          </c:xVal>
          <c:yVal>
            <c:numRef>
              <c:f>Лист2!$B$1:$B$30</c:f>
              <c:numCache>
                <c:formatCode>General</c:formatCode>
                <c:ptCount val="30"/>
                <c:pt idx="0">
                  <c:v>12.637700000000001</c:v>
                </c:pt>
                <c:pt idx="1">
                  <c:v>12.6313</c:v>
                </c:pt>
                <c:pt idx="2">
                  <c:v>12.623100000000001</c:v>
                </c:pt>
                <c:pt idx="3">
                  <c:v>12.6151</c:v>
                </c:pt>
                <c:pt idx="4">
                  <c:v>12.6075</c:v>
                </c:pt>
                <c:pt idx="5">
                  <c:v>12.5991</c:v>
                </c:pt>
                <c:pt idx="6">
                  <c:v>12.590400000000001</c:v>
                </c:pt>
                <c:pt idx="7">
                  <c:v>12.5824</c:v>
                </c:pt>
                <c:pt idx="8">
                  <c:v>12.5708</c:v>
                </c:pt>
                <c:pt idx="9">
                  <c:v>12.5623</c:v>
                </c:pt>
                <c:pt idx="10">
                  <c:v>12.5496</c:v>
                </c:pt>
                <c:pt idx="11">
                  <c:v>12.522500000000001</c:v>
                </c:pt>
                <c:pt idx="12">
                  <c:v>11.73</c:v>
                </c:pt>
                <c:pt idx="13">
                  <c:v>6.5392000000000001</c:v>
                </c:pt>
                <c:pt idx="14">
                  <c:v>3.2387299999999999</c:v>
                </c:pt>
                <c:pt idx="15">
                  <c:v>1.31</c:v>
                </c:pt>
                <c:pt idx="16">
                  <c:v>-3.06</c:v>
                </c:pt>
                <c:pt idx="17">
                  <c:v>-7.1166299999999998</c:v>
                </c:pt>
                <c:pt idx="18">
                  <c:v>-9.2799999999999994</c:v>
                </c:pt>
                <c:pt idx="19">
                  <c:v>-12.256600000000001</c:v>
                </c:pt>
                <c:pt idx="20">
                  <c:v>-12.533799999999999</c:v>
                </c:pt>
                <c:pt idx="21">
                  <c:v>-12.554399999999999</c:v>
                </c:pt>
                <c:pt idx="22">
                  <c:v>-12.566800000000001</c:v>
                </c:pt>
                <c:pt idx="23">
                  <c:v>-12.579000000000001</c:v>
                </c:pt>
                <c:pt idx="24">
                  <c:v>-12.5915</c:v>
                </c:pt>
                <c:pt idx="25">
                  <c:v>-12.6021</c:v>
                </c:pt>
                <c:pt idx="26">
                  <c:v>-12.6113</c:v>
                </c:pt>
                <c:pt idx="27">
                  <c:v>-12.6203</c:v>
                </c:pt>
                <c:pt idx="28">
                  <c:v>-12.629300000000001</c:v>
                </c:pt>
                <c:pt idx="29">
                  <c:v>-12.632899999999999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08-47D1-A078-27E447283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241247"/>
        <c:axId val="336307231"/>
      </c:scatterChart>
      <c:valAx>
        <c:axId val="330241247"/>
        <c:scaling>
          <c:orientation val="minMax"/>
          <c:max val="1.0000000000000002E-2"/>
          <c:min val="-3.000000000000000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307231"/>
        <c:crosses val="autoZero"/>
        <c:crossBetween val="midCat"/>
      </c:valAx>
      <c:valAx>
        <c:axId val="33630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024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Лист4!$A$1:$A$30</c:f>
              <c:numCache>
                <c:formatCode>General</c:formatCode>
                <c:ptCount val="30"/>
                <c:pt idx="0">
                  <c:v>-0.01</c:v>
                </c:pt>
                <c:pt idx="1">
                  <c:v>-8.9999999999999993E-3</c:v>
                </c:pt>
                <c:pt idx="2">
                  <c:v>-7.7499999999999999E-3</c:v>
                </c:pt>
                <c:pt idx="3">
                  <c:v>-7.0000000000000001E-3</c:v>
                </c:pt>
                <c:pt idx="4">
                  <c:v>-6.2500000000000003E-3</c:v>
                </c:pt>
                <c:pt idx="5">
                  <c:v>-5.7499999999999999E-3</c:v>
                </c:pt>
                <c:pt idx="6">
                  <c:v>-5.4999999999999997E-3</c:v>
                </c:pt>
                <c:pt idx="7">
                  <c:v>-5.3499999999999997E-3</c:v>
                </c:pt>
                <c:pt idx="8">
                  <c:v>-5.2500000000000003E-3</c:v>
                </c:pt>
                <c:pt idx="9">
                  <c:v>-5.13E-3</c:v>
                </c:pt>
                <c:pt idx="10">
                  <c:v>-5.0000000000000001E-3</c:v>
                </c:pt>
                <c:pt idx="11">
                  <c:v>-4.9500000000000004E-3</c:v>
                </c:pt>
                <c:pt idx="12">
                  <c:v>-4.7499999999999999E-3</c:v>
                </c:pt>
                <c:pt idx="13">
                  <c:v>-4.2100000000000002E-3</c:v>
                </c:pt>
                <c:pt idx="14">
                  <c:v>-3.9399999999999999E-3</c:v>
                </c:pt>
                <c:pt idx="15">
                  <c:v>-3.7499999999999999E-3</c:v>
                </c:pt>
                <c:pt idx="16">
                  <c:v>-3.5100000000000001E-3</c:v>
                </c:pt>
                <c:pt idx="17">
                  <c:v>-3.2499999999999999E-3</c:v>
                </c:pt>
                <c:pt idx="18">
                  <c:v>-3.0599999999999998E-3</c:v>
                </c:pt>
                <c:pt idx="19">
                  <c:v>-3.0000000000000001E-3</c:v>
                </c:pt>
                <c:pt idx="20">
                  <c:v>-2.8400000000000001E-3</c:v>
                </c:pt>
                <c:pt idx="21">
                  <c:v>-2.7499999999999998E-3</c:v>
                </c:pt>
                <c:pt idx="22">
                  <c:v>-2.5999999999999999E-3</c:v>
                </c:pt>
                <c:pt idx="23">
                  <c:v>-2.5000000000000001E-3</c:v>
                </c:pt>
                <c:pt idx="24">
                  <c:v>-2.2499999999999998E-3</c:v>
                </c:pt>
                <c:pt idx="25">
                  <c:v>-1.5E-3</c:v>
                </c:pt>
                <c:pt idx="26">
                  <c:v>-7.5000000000000002E-4</c:v>
                </c:pt>
                <c:pt idx="27">
                  <c:v>2.5000000000000001E-4</c:v>
                </c:pt>
                <c:pt idx="28">
                  <c:v>1.75E-3</c:v>
                </c:pt>
                <c:pt idx="29">
                  <c:v>3.0000000000000001E-3</c:v>
                </c:pt>
              </c:numCache>
            </c:numRef>
          </c:xVal>
          <c:yVal>
            <c:numRef>
              <c:f>Лист4!$B$1:$B$30</c:f>
              <c:numCache>
                <c:formatCode>General</c:formatCode>
                <c:ptCount val="30"/>
                <c:pt idx="0">
                  <c:v>-12.6326</c:v>
                </c:pt>
                <c:pt idx="1">
                  <c:v>-12.6272</c:v>
                </c:pt>
                <c:pt idx="2">
                  <c:v>-12.617599999999999</c:v>
                </c:pt>
                <c:pt idx="3">
                  <c:v>-12.6096</c:v>
                </c:pt>
                <c:pt idx="4">
                  <c:v>-12.597799999999999</c:v>
                </c:pt>
                <c:pt idx="5">
                  <c:v>-12.5852</c:v>
                </c:pt>
                <c:pt idx="6">
                  <c:v>-12.5756</c:v>
                </c:pt>
                <c:pt idx="7">
                  <c:v>-12.564</c:v>
                </c:pt>
                <c:pt idx="8">
                  <c:v>-12.5604</c:v>
                </c:pt>
                <c:pt idx="9">
                  <c:v>-12.5</c:v>
                </c:pt>
                <c:pt idx="10">
                  <c:v>-12.42</c:v>
                </c:pt>
                <c:pt idx="11">
                  <c:v>-12.0001</c:v>
                </c:pt>
                <c:pt idx="12">
                  <c:v>-9.8849999999999998</c:v>
                </c:pt>
                <c:pt idx="13">
                  <c:v>-2.71</c:v>
                </c:pt>
                <c:pt idx="14">
                  <c:v>0.88400000000000001</c:v>
                </c:pt>
                <c:pt idx="15">
                  <c:v>3.29</c:v>
                </c:pt>
                <c:pt idx="16">
                  <c:v>6.4530000000000003</c:v>
                </c:pt>
                <c:pt idx="17">
                  <c:v>9.88443</c:v>
                </c:pt>
                <c:pt idx="18">
                  <c:v>11.9</c:v>
                </c:pt>
                <c:pt idx="19">
                  <c:v>12.5</c:v>
                </c:pt>
                <c:pt idx="20">
                  <c:v>12.56</c:v>
                </c:pt>
                <c:pt idx="21">
                  <c:v>12.568</c:v>
                </c:pt>
                <c:pt idx="22">
                  <c:v>12.57</c:v>
                </c:pt>
                <c:pt idx="23">
                  <c:v>12.579000000000001</c:v>
                </c:pt>
                <c:pt idx="24">
                  <c:v>12.587300000000001</c:v>
                </c:pt>
                <c:pt idx="25">
                  <c:v>12.6023</c:v>
                </c:pt>
                <c:pt idx="26">
                  <c:v>12.612500000000001</c:v>
                </c:pt>
                <c:pt idx="27">
                  <c:v>12.6219</c:v>
                </c:pt>
                <c:pt idx="28">
                  <c:v>12.631600000000001</c:v>
                </c:pt>
                <c:pt idx="29">
                  <c:v>12.6372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E6-47D3-A626-EB0D75EF1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91231"/>
        <c:axId val="2075855903"/>
      </c:scatterChart>
      <c:valAx>
        <c:axId val="350191231"/>
        <c:scaling>
          <c:orientation val="minMax"/>
          <c:max val="3.0000000000000009E-3"/>
          <c:min val="-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855903"/>
        <c:crosses val="autoZero"/>
        <c:crossBetween val="midCat"/>
      </c:valAx>
      <c:valAx>
        <c:axId val="20758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019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Лист4!$A$1:$A$30</c:f>
              <c:numCache>
                <c:formatCode>General</c:formatCode>
                <c:ptCount val="30"/>
                <c:pt idx="0">
                  <c:v>-0.01</c:v>
                </c:pt>
                <c:pt idx="1">
                  <c:v>-8.9999999999999993E-3</c:v>
                </c:pt>
                <c:pt idx="2">
                  <c:v>-7.7499999999999999E-3</c:v>
                </c:pt>
                <c:pt idx="3">
                  <c:v>-7.0000000000000001E-3</c:v>
                </c:pt>
                <c:pt idx="4">
                  <c:v>-6.2500000000000003E-3</c:v>
                </c:pt>
                <c:pt idx="5">
                  <c:v>-5.7499999999999999E-3</c:v>
                </c:pt>
                <c:pt idx="6">
                  <c:v>-5.4999999999999997E-3</c:v>
                </c:pt>
                <c:pt idx="7">
                  <c:v>-5.3499999999999997E-3</c:v>
                </c:pt>
                <c:pt idx="8">
                  <c:v>-5.2500000000000003E-3</c:v>
                </c:pt>
                <c:pt idx="9">
                  <c:v>-5.13E-3</c:v>
                </c:pt>
                <c:pt idx="10">
                  <c:v>-5.0000000000000001E-3</c:v>
                </c:pt>
                <c:pt idx="11">
                  <c:v>-4.9500000000000004E-3</c:v>
                </c:pt>
                <c:pt idx="12">
                  <c:v>-4.7499999999999999E-3</c:v>
                </c:pt>
                <c:pt idx="13">
                  <c:v>-4.2100000000000002E-3</c:v>
                </c:pt>
                <c:pt idx="14">
                  <c:v>-3.9399999999999999E-3</c:v>
                </c:pt>
                <c:pt idx="15">
                  <c:v>-3.7499999999999999E-3</c:v>
                </c:pt>
                <c:pt idx="16">
                  <c:v>-3.5100000000000001E-3</c:v>
                </c:pt>
                <c:pt idx="17">
                  <c:v>-3.2499999999999999E-3</c:v>
                </c:pt>
                <c:pt idx="18">
                  <c:v>-3.0599999999999998E-3</c:v>
                </c:pt>
                <c:pt idx="19">
                  <c:v>-3.0000000000000001E-3</c:v>
                </c:pt>
                <c:pt idx="20">
                  <c:v>-2.8400000000000001E-3</c:v>
                </c:pt>
                <c:pt idx="21">
                  <c:v>-2.7499999999999998E-3</c:v>
                </c:pt>
                <c:pt idx="22">
                  <c:v>-2.5999999999999999E-3</c:v>
                </c:pt>
                <c:pt idx="23">
                  <c:v>-2.5000000000000001E-3</c:v>
                </c:pt>
                <c:pt idx="24">
                  <c:v>-2.2499999999999998E-3</c:v>
                </c:pt>
                <c:pt idx="25">
                  <c:v>-1.5E-3</c:v>
                </c:pt>
                <c:pt idx="26">
                  <c:v>-7.5000000000000002E-4</c:v>
                </c:pt>
                <c:pt idx="27">
                  <c:v>2.5000000000000001E-4</c:v>
                </c:pt>
                <c:pt idx="28">
                  <c:v>1.75E-3</c:v>
                </c:pt>
                <c:pt idx="29">
                  <c:v>3.0000000000000001E-3</c:v>
                </c:pt>
              </c:numCache>
            </c:numRef>
          </c:xVal>
          <c:yVal>
            <c:numRef>
              <c:f>Лист4!$B$1:$B$30</c:f>
              <c:numCache>
                <c:formatCode>General</c:formatCode>
                <c:ptCount val="30"/>
                <c:pt idx="0">
                  <c:v>-12.6326</c:v>
                </c:pt>
                <c:pt idx="1">
                  <c:v>-12.6272</c:v>
                </c:pt>
                <c:pt idx="2">
                  <c:v>-12.617599999999999</c:v>
                </c:pt>
                <c:pt idx="3">
                  <c:v>-12.6096</c:v>
                </c:pt>
                <c:pt idx="4">
                  <c:v>-12.597799999999999</c:v>
                </c:pt>
                <c:pt idx="5">
                  <c:v>-12.5852</c:v>
                </c:pt>
                <c:pt idx="6">
                  <c:v>-12.5756</c:v>
                </c:pt>
                <c:pt idx="7">
                  <c:v>-12.564</c:v>
                </c:pt>
                <c:pt idx="8">
                  <c:v>-12.5604</c:v>
                </c:pt>
                <c:pt idx="9">
                  <c:v>-12.5</c:v>
                </c:pt>
                <c:pt idx="10">
                  <c:v>-12.42</c:v>
                </c:pt>
                <c:pt idx="11">
                  <c:v>-12.0001</c:v>
                </c:pt>
                <c:pt idx="12">
                  <c:v>-9.8849999999999998</c:v>
                </c:pt>
                <c:pt idx="13">
                  <c:v>-2.71</c:v>
                </c:pt>
                <c:pt idx="14">
                  <c:v>0.88400000000000001</c:v>
                </c:pt>
                <c:pt idx="15">
                  <c:v>3.29</c:v>
                </c:pt>
                <c:pt idx="16">
                  <c:v>6.4530000000000003</c:v>
                </c:pt>
                <c:pt idx="17">
                  <c:v>9.88443</c:v>
                </c:pt>
                <c:pt idx="18">
                  <c:v>11.9</c:v>
                </c:pt>
                <c:pt idx="19">
                  <c:v>12.5</c:v>
                </c:pt>
                <c:pt idx="20">
                  <c:v>12.56</c:v>
                </c:pt>
                <c:pt idx="21">
                  <c:v>12.568</c:v>
                </c:pt>
                <c:pt idx="22">
                  <c:v>12.57</c:v>
                </c:pt>
                <c:pt idx="23">
                  <c:v>12.579000000000001</c:v>
                </c:pt>
                <c:pt idx="24">
                  <c:v>12.587300000000001</c:v>
                </c:pt>
                <c:pt idx="25">
                  <c:v>12.6023</c:v>
                </c:pt>
                <c:pt idx="26">
                  <c:v>12.612500000000001</c:v>
                </c:pt>
                <c:pt idx="27">
                  <c:v>12.6219</c:v>
                </c:pt>
                <c:pt idx="28">
                  <c:v>12.631600000000001</c:v>
                </c:pt>
                <c:pt idx="29">
                  <c:v>12.6372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BE-4983-88CA-282808A76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91231"/>
        <c:axId val="2075855903"/>
      </c:scatterChart>
      <c:valAx>
        <c:axId val="350191231"/>
        <c:scaling>
          <c:orientation val="minMax"/>
          <c:max val="3.0000000000000009E-3"/>
          <c:min val="-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855903"/>
        <c:crosses val="autoZero"/>
        <c:crossBetween val="midCat"/>
      </c:valAx>
      <c:valAx>
        <c:axId val="20758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019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384299608611105E-2"/>
          <c:y val="3.2651566629678878E-2"/>
          <c:w val="0.92177072736139598"/>
          <c:h val="0.95179404150888447"/>
        </c:manualLayout>
      </c:layout>
      <c:scatterChart>
        <c:scatterStyle val="lineMarker"/>
        <c:varyColors val="0"/>
        <c:ser>
          <c:idx val="0"/>
          <c:order val="0"/>
          <c:tx>
            <c:v>АЧХ ОУ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Лист1!$A$1:$A$101</c:f>
              <c:numCache>
                <c:formatCode>General</c:formatCode>
                <c:ptCount val="10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  <c:pt idx="51">
                  <c:v>125892.54120000001</c:v>
                </c:pt>
                <c:pt idx="52">
                  <c:v>158489.3192</c:v>
                </c:pt>
                <c:pt idx="53">
                  <c:v>199526.23149999999</c:v>
                </c:pt>
                <c:pt idx="54">
                  <c:v>251188.64319999999</c:v>
                </c:pt>
                <c:pt idx="55">
                  <c:v>316227.766</c:v>
                </c:pt>
                <c:pt idx="56">
                  <c:v>398107.17060000001</c:v>
                </c:pt>
                <c:pt idx="57">
                  <c:v>501187.23359999998</c:v>
                </c:pt>
                <c:pt idx="58">
                  <c:v>630957.34450000001</c:v>
                </c:pt>
                <c:pt idx="59">
                  <c:v>794328.23470000003</c:v>
                </c:pt>
                <c:pt idx="60">
                  <c:v>1000000</c:v>
                </c:pt>
                <c:pt idx="61">
                  <c:v>1258925.412</c:v>
                </c:pt>
                <c:pt idx="62">
                  <c:v>1584893.192</c:v>
                </c:pt>
                <c:pt idx="63">
                  <c:v>1995262.3149999999</c:v>
                </c:pt>
                <c:pt idx="64">
                  <c:v>2511886.432</c:v>
                </c:pt>
                <c:pt idx="65">
                  <c:v>3162277.66</c:v>
                </c:pt>
                <c:pt idx="66">
                  <c:v>3981071.7059999998</c:v>
                </c:pt>
                <c:pt idx="67">
                  <c:v>5011872.3360000001</c:v>
                </c:pt>
                <c:pt idx="68">
                  <c:v>6309573.4450000003</c:v>
                </c:pt>
                <c:pt idx="69">
                  <c:v>7943282.3470000001</c:v>
                </c:pt>
                <c:pt idx="70">
                  <c:v>10000000</c:v>
                </c:pt>
                <c:pt idx="71">
                  <c:v>12589254.119999999</c:v>
                </c:pt>
                <c:pt idx="72">
                  <c:v>15848931.92</c:v>
                </c:pt>
                <c:pt idx="73">
                  <c:v>19952623.149999999</c:v>
                </c:pt>
                <c:pt idx="74">
                  <c:v>25118864.32</c:v>
                </c:pt>
                <c:pt idx="75">
                  <c:v>31622776.600000001</c:v>
                </c:pt>
                <c:pt idx="76">
                  <c:v>39810717.060000002</c:v>
                </c:pt>
                <c:pt idx="77">
                  <c:v>50118723.359999999</c:v>
                </c:pt>
                <c:pt idx="78">
                  <c:v>63095734.450000003</c:v>
                </c:pt>
                <c:pt idx="79">
                  <c:v>79432823.469999999</c:v>
                </c:pt>
                <c:pt idx="80">
                  <c:v>100000000</c:v>
                </c:pt>
                <c:pt idx="81">
                  <c:v>125892541.2</c:v>
                </c:pt>
                <c:pt idx="82">
                  <c:v>158489319.19999999</c:v>
                </c:pt>
                <c:pt idx="83">
                  <c:v>199526231.5</c:v>
                </c:pt>
                <c:pt idx="84">
                  <c:v>251188643.19999999</c:v>
                </c:pt>
                <c:pt idx="85">
                  <c:v>316227766</c:v>
                </c:pt>
                <c:pt idx="86">
                  <c:v>398107170.60000002</c:v>
                </c:pt>
                <c:pt idx="87">
                  <c:v>501187233.60000002</c:v>
                </c:pt>
                <c:pt idx="88">
                  <c:v>630957344.5</c:v>
                </c:pt>
                <c:pt idx="89">
                  <c:v>794328234.70000005</c:v>
                </c:pt>
                <c:pt idx="90">
                  <c:v>1000000000</c:v>
                </c:pt>
                <c:pt idx="91">
                  <c:v>1258925412</c:v>
                </c:pt>
                <c:pt idx="92">
                  <c:v>1584893192</c:v>
                </c:pt>
                <c:pt idx="93">
                  <c:v>1995262315</c:v>
                </c:pt>
                <c:pt idx="94">
                  <c:v>2511886432</c:v>
                </c:pt>
                <c:pt idx="95">
                  <c:v>3162277660</c:v>
                </c:pt>
                <c:pt idx="96">
                  <c:v>3981071706</c:v>
                </c:pt>
                <c:pt idx="97">
                  <c:v>5011872336</c:v>
                </c:pt>
                <c:pt idx="98">
                  <c:v>6309573445</c:v>
                </c:pt>
                <c:pt idx="99">
                  <c:v>7943282347</c:v>
                </c:pt>
                <c:pt idx="100" formatCode="0.00E+00">
                  <c:v>10000000000</c:v>
                </c:pt>
              </c:numCache>
            </c:numRef>
          </c:xVal>
          <c:yVal>
            <c:numRef>
              <c:f>Лист1!$B$1:$B$101</c:f>
              <c:numCache>
                <c:formatCode>General</c:formatCode>
                <c:ptCount val="101"/>
                <c:pt idx="0">
                  <c:v>82.397999999999996</c:v>
                </c:pt>
                <c:pt idx="1">
                  <c:v>82.397999999999996</c:v>
                </c:pt>
                <c:pt idx="2">
                  <c:v>82.397999999999996</c:v>
                </c:pt>
                <c:pt idx="3">
                  <c:v>82.397999999999996</c:v>
                </c:pt>
                <c:pt idx="4">
                  <c:v>82.397999999999996</c:v>
                </c:pt>
                <c:pt idx="5">
                  <c:v>82.397999999999996</c:v>
                </c:pt>
                <c:pt idx="6">
                  <c:v>82.397999999999996</c:v>
                </c:pt>
                <c:pt idx="7">
                  <c:v>82.397999999999996</c:v>
                </c:pt>
                <c:pt idx="8">
                  <c:v>82.397999999999996</c:v>
                </c:pt>
                <c:pt idx="9">
                  <c:v>82.397999999999996</c:v>
                </c:pt>
                <c:pt idx="10">
                  <c:v>82.397999999999996</c:v>
                </c:pt>
                <c:pt idx="11">
                  <c:v>82.397999999999996</c:v>
                </c:pt>
                <c:pt idx="12">
                  <c:v>82.397999999999996</c:v>
                </c:pt>
                <c:pt idx="13">
                  <c:v>82.397999999999996</c:v>
                </c:pt>
                <c:pt idx="14">
                  <c:v>82.397999999999996</c:v>
                </c:pt>
                <c:pt idx="15">
                  <c:v>82.397900000000007</c:v>
                </c:pt>
                <c:pt idx="16">
                  <c:v>82.397900000000007</c:v>
                </c:pt>
                <c:pt idx="17">
                  <c:v>82.397900000000007</c:v>
                </c:pt>
                <c:pt idx="18">
                  <c:v>82.397900000000007</c:v>
                </c:pt>
                <c:pt idx="19">
                  <c:v>82.397900000000007</c:v>
                </c:pt>
                <c:pt idx="20">
                  <c:v>82.397800000000004</c:v>
                </c:pt>
                <c:pt idx="21">
                  <c:v>82.397800000000004</c:v>
                </c:pt>
                <c:pt idx="22">
                  <c:v>82.397599999999997</c:v>
                </c:pt>
                <c:pt idx="23">
                  <c:v>82.397400000000005</c:v>
                </c:pt>
                <c:pt idx="24">
                  <c:v>82.397099999999995</c:v>
                </c:pt>
                <c:pt idx="25">
                  <c:v>82.396699999999996</c:v>
                </c:pt>
                <c:pt idx="26">
                  <c:v>82.395899999999997</c:v>
                </c:pt>
                <c:pt idx="27">
                  <c:v>82.3947</c:v>
                </c:pt>
                <c:pt idx="28">
                  <c:v>82.392799999999994</c:v>
                </c:pt>
                <c:pt idx="29">
                  <c:v>82.389799999999994</c:v>
                </c:pt>
                <c:pt idx="30">
                  <c:v>82.385000000000005</c:v>
                </c:pt>
                <c:pt idx="31">
                  <c:v>82.377399999999994</c:v>
                </c:pt>
                <c:pt idx="32">
                  <c:v>82.365499999999997</c:v>
                </c:pt>
                <c:pt idx="33">
                  <c:v>82.346599999999995</c:v>
                </c:pt>
                <c:pt idx="34">
                  <c:v>82.316800000000001</c:v>
                </c:pt>
                <c:pt idx="35">
                  <c:v>82.270099999999999</c:v>
                </c:pt>
                <c:pt idx="36">
                  <c:v>82.197000000000003</c:v>
                </c:pt>
                <c:pt idx="37">
                  <c:v>82.083600000000004</c:v>
                </c:pt>
                <c:pt idx="38">
                  <c:v>81.909800000000004</c:v>
                </c:pt>
                <c:pt idx="39">
                  <c:v>81.647800000000004</c:v>
                </c:pt>
                <c:pt idx="40">
                  <c:v>81.262500000000003</c:v>
                </c:pt>
                <c:pt idx="41">
                  <c:v>80.714200000000005</c:v>
                </c:pt>
                <c:pt idx="42">
                  <c:v>79.966099999999997</c:v>
                </c:pt>
                <c:pt idx="43">
                  <c:v>78.994299999999996</c:v>
                </c:pt>
                <c:pt idx="44">
                  <c:v>77.795900000000003</c:v>
                </c:pt>
                <c:pt idx="45">
                  <c:v>76.390199999999993</c:v>
                </c:pt>
                <c:pt idx="46">
                  <c:v>74.811899999999994</c:v>
                </c:pt>
                <c:pt idx="47">
                  <c:v>73.100700000000003</c:v>
                </c:pt>
                <c:pt idx="48">
                  <c:v>71.293300000000002</c:v>
                </c:pt>
                <c:pt idx="49">
                  <c:v>69.419399999999996</c:v>
                </c:pt>
                <c:pt idx="50">
                  <c:v>67.500900000000001</c:v>
                </c:pt>
                <c:pt idx="51">
                  <c:v>65.553100000000001</c:v>
                </c:pt>
                <c:pt idx="52">
                  <c:v>63.586399999999998</c:v>
                </c:pt>
                <c:pt idx="53">
                  <c:v>61.607500000000002</c:v>
                </c:pt>
                <c:pt idx="54">
                  <c:v>59.620899999999999</c:v>
                </c:pt>
                <c:pt idx="55">
                  <c:v>57.629399999999997</c:v>
                </c:pt>
                <c:pt idx="56">
                  <c:v>55.634700000000002</c:v>
                </c:pt>
                <c:pt idx="57">
                  <c:v>53.638100000000001</c:v>
                </c:pt>
                <c:pt idx="58">
                  <c:v>51.6402</c:v>
                </c:pt>
                <c:pt idx="59">
                  <c:v>49.641599999999997</c:v>
                </c:pt>
                <c:pt idx="60">
                  <c:v>47.642400000000002</c:v>
                </c:pt>
                <c:pt idx="61">
                  <c:v>45.642899999999997</c:v>
                </c:pt>
                <c:pt idx="62">
                  <c:v>43.643300000000004</c:v>
                </c:pt>
                <c:pt idx="63">
                  <c:v>41.643500000000003</c:v>
                </c:pt>
                <c:pt idx="64">
                  <c:v>39.643599999999999</c:v>
                </c:pt>
                <c:pt idx="65">
                  <c:v>37.643700000000003</c:v>
                </c:pt>
                <c:pt idx="66">
                  <c:v>35.643700000000003</c:v>
                </c:pt>
                <c:pt idx="67">
                  <c:v>33.643700000000003</c:v>
                </c:pt>
                <c:pt idx="68">
                  <c:v>31.643599999999999</c:v>
                </c:pt>
                <c:pt idx="69">
                  <c:v>29.6435</c:v>
                </c:pt>
                <c:pt idx="70">
                  <c:v>27.6433</c:v>
                </c:pt>
                <c:pt idx="71">
                  <c:v>25.642900000000001</c:v>
                </c:pt>
                <c:pt idx="72">
                  <c:v>23.642299999999999</c:v>
                </c:pt>
                <c:pt idx="73">
                  <c:v>21.641500000000001</c:v>
                </c:pt>
                <c:pt idx="74">
                  <c:v>19.6401</c:v>
                </c:pt>
                <c:pt idx="75">
                  <c:v>17.637799999999999</c:v>
                </c:pt>
                <c:pt idx="76">
                  <c:v>15.6343</c:v>
                </c:pt>
                <c:pt idx="77">
                  <c:v>13.6288</c:v>
                </c:pt>
                <c:pt idx="78">
                  <c:v>11.62</c:v>
                </c:pt>
                <c:pt idx="79">
                  <c:v>9.6060099999999995</c:v>
                </c:pt>
                <c:pt idx="80">
                  <c:v>7.58399</c:v>
                </c:pt>
                <c:pt idx="81">
                  <c:v>5.5492800000000004</c:v>
                </c:pt>
                <c:pt idx="82">
                  <c:v>3.49472</c:v>
                </c:pt>
                <c:pt idx="83">
                  <c:v>1.40934</c:v>
                </c:pt>
                <c:pt idx="84">
                  <c:v>-0.72330000000000005</c:v>
                </c:pt>
                <c:pt idx="85">
                  <c:v>-2.9272399999999998</c:v>
                </c:pt>
                <c:pt idx="86">
                  <c:v>-5.2360800000000003</c:v>
                </c:pt>
                <c:pt idx="87">
                  <c:v>-7.6940799999999996</c:v>
                </c:pt>
                <c:pt idx="88">
                  <c:v>-10.354900000000001</c:v>
                </c:pt>
                <c:pt idx="89">
                  <c:v>-13.277200000000001</c:v>
                </c:pt>
                <c:pt idx="90">
                  <c:v>-16.517199999999999</c:v>
                </c:pt>
                <c:pt idx="91">
                  <c:v>-20.121099999999998</c:v>
                </c:pt>
                <c:pt idx="92">
                  <c:v>-24.121400000000001</c:v>
                </c:pt>
                <c:pt idx="93">
                  <c:v>-28.535399999999999</c:v>
                </c:pt>
                <c:pt idx="94">
                  <c:v>-33.365900000000003</c:v>
                </c:pt>
                <c:pt idx="95">
                  <c:v>-38.603400000000001</c:v>
                </c:pt>
                <c:pt idx="96">
                  <c:v>-44.2301</c:v>
                </c:pt>
                <c:pt idx="97">
                  <c:v>-50.226700000000001</c:v>
                </c:pt>
                <c:pt idx="98">
                  <c:v>-56.575800000000001</c:v>
                </c:pt>
                <c:pt idx="99">
                  <c:v>-63.258499999999998</c:v>
                </c:pt>
                <c:pt idx="100">
                  <c:v>-70.247699999999995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DC-4478-8F8C-F9A583E1E2C4}"/>
            </c:ext>
          </c:extLst>
        </c:ser>
        <c:ser>
          <c:idx val="1"/>
          <c:order val="1"/>
          <c:tx>
            <c:v>АЧХ Оуmax - 3, 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Лист1!$V$5:$V$6</c:f>
              <c:numCache>
                <c:formatCode>General</c:formatCode>
                <c:ptCount val="2"/>
                <c:pt idx="0">
                  <c:v>1</c:v>
                </c:pt>
                <c:pt idx="1">
                  <c:v>10000000000</c:v>
                </c:pt>
              </c:numCache>
            </c:numRef>
          </c:xVal>
          <c:yVal>
            <c:numRef>
              <c:f>Лист1!$W$5:$W$6</c:f>
              <c:numCache>
                <c:formatCode>General</c:formatCode>
                <c:ptCount val="2"/>
                <c:pt idx="0">
                  <c:v>79.387999999999991</c:v>
                </c:pt>
                <c:pt idx="1">
                  <c:v>79.387999999999991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DC-4478-8F8C-F9A583E1E2C4}"/>
            </c:ext>
          </c:extLst>
        </c:ser>
        <c:ser>
          <c:idx val="2"/>
          <c:order val="2"/>
          <c:tx>
            <c:v>20 дБ/дек</c:v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Лист1!$V$11:$V$14</c:f>
              <c:numCache>
                <c:formatCode>General</c:formatCode>
                <c:ptCount val="4"/>
                <c:pt idx="0">
                  <c:v>100000</c:v>
                </c:pt>
                <c:pt idx="1">
                  <c:v>1000000</c:v>
                </c:pt>
                <c:pt idx="2">
                  <c:v>10000000</c:v>
                </c:pt>
                <c:pt idx="3">
                  <c:v>100000000</c:v>
                </c:pt>
              </c:numCache>
            </c:numRef>
          </c:xVal>
          <c:yVal>
            <c:numRef>
              <c:f>Лист1!$W$11:$W$14</c:f>
              <c:numCache>
                <c:formatCode>General</c:formatCode>
                <c:ptCount val="4"/>
                <c:pt idx="0">
                  <c:v>67.500900000000001</c:v>
                </c:pt>
                <c:pt idx="1">
                  <c:v>47.642400000000002</c:v>
                </c:pt>
                <c:pt idx="2">
                  <c:v>27.6433</c:v>
                </c:pt>
                <c:pt idx="3">
                  <c:v>7.58399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DC-4478-8F8C-F9A583E1E2C4}"/>
            </c:ext>
          </c:extLst>
        </c:ser>
        <c:ser>
          <c:idx val="3"/>
          <c:order val="3"/>
          <c:tx>
            <c:v>40 дБ/дек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Лист1!$Y$10:$Y$11</c:f>
              <c:numCache>
                <c:formatCode>0.00E+00</c:formatCode>
                <c:ptCount val="2"/>
                <c:pt idx="0">
                  <c:v>10000000000</c:v>
                </c:pt>
                <c:pt idx="1">
                  <c:v>2400000000</c:v>
                </c:pt>
              </c:numCache>
            </c:numRef>
          </c:xVal>
          <c:yVal>
            <c:numRef>
              <c:f>Лист1!$Z$10:$Z$11</c:f>
              <c:numCache>
                <c:formatCode>General</c:formatCode>
                <c:ptCount val="2"/>
                <c:pt idx="0">
                  <c:v>-70.247699999999995</c:v>
                </c:pt>
                <c:pt idx="1">
                  <c:v>-30.247699999999995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DC-4478-8F8C-F9A583E1E2C4}"/>
            </c:ext>
          </c:extLst>
        </c:ser>
        <c:ser>
          <c:idx val="4"/>
          <c:order val="4"/>
          <c:tx>
            <c:v>АЧХ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Лист6!$A$1:$A$91</c:f>
              <c:numCache>
                <c:formatCode>General</c:formatCode>
                <c:ptCount val="9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  <c:pt idx="51">
                  <c:v>125892.54120000001</c:v>
                </c:pt>
                <c:pt idx="52">
                  <c:v>158489.3192</c:v>
                </c:pt>
                <c:pt idx="53">
                  <c:v>199526.23149999999</c:v>
                </c:pt>
                <c:pt idx="54">
                  <c:v>251188.64319999999</c:v>
                </c:pt>
                <c:pt idx="55">
                  <c:v>316227.766</c:v>
                </c:pt>
                <c:pt idx="56">
                  <c:v>398107.17060000001</c:v>
                </c:pt>
                <c:pt idx="57">
                  <c:v>501187.23359999998</c:v>
                </c:pt>
                <c:pt idx="58">
                  <c:v>630957.34450000001</c:v>
                </c:pt>
                <c:pt idx="59">
                  <c:v>794328.23470000003</c:v>
                </c:pt>
                <c:pt idx="60">
                  <c:v>1000000</c:v>
                </c:pt>
                <c:pt idx="61">
                  <c:v>1258925.412</c:v>
                </c:pt>
                <c:pt idx="62">
                  <c:v>1584893.192</c:v>
                </c:pt>
                <c:pt idx="63">
                  <c:v>1995262.3149999999</c:v>
                </c:pt>
                <c:pt idx="64">
                  <c:v>2511886.432</c:v>
                </c:pt>
                <c:pt idx="65">
                  <c:v>3162277.66</c:v>
                </c:pt>
                <c:pt idx="66">
                  <c:v>3981071.7059999998</c:v>
                </c:pt>
                <c:pt idx="67">
                  <c:v>5011872.3360000001</c:v>
                </c:pt>
                <c:pt idx="68">
                  <c:v>6309573.4450000003</c:v>
                </c:pt>
                <c:pt idx="69">
                  <c:v>7943282.3470000001</c:v>
                </c:pt>
                <c:pt idx="70">
                  <c:v>10000000</c:v>
                </c:pt>
                <c:pt idx="71">
                  <c:v>12589254.119999999</c:v>
                </c:pt>
                <c:pt idx="72">
                  <c:v>15848931.92</c:v>
                </c:pt>
                <c:pt idx="73">
                  <c:v>19952623.149999999</c:v>
                </c:pt>
                <c:pt idx="74">
                  <c:v>25118864.32</c:v>
                </c:pt>
                <c:pt idx="75">
                  <c:v>31622776.600000001</c:v>
                </c:pt>
                <c:pt idx="76">
                  <c:v>39810717.060000002</c:v>
                </c:pt>
                <c:pt idx="77">
                  <c:v>50118723.359999999</c:v>
                </c:pt>
                <c:pt idx="78">
                  <c:v>63095734.450000003</c:v>
                </c:pt>
                <c:pt idx="79">
                  <c:v>79432823.469999999</c:v>
                </c:pt>
                <c:pt idx="80">
                  <c:v>100000000</c:v>
                </c:pt>
                <c:pt idx="81">
                  <c:v>125892541.2</c:v>
                </c:pt>
                <c:pt idx="82">
                  <c:v>158489319.19999999</c:v>
                </c:pt>
                <c:pt idx="83">
                  <c:v>199526231.5</c:v>
                </c:pt>
                <c:pt idx="84">
                  <c:v>251188643.19999999</c:v>
                </c:pt>
                <c:pt idx="85">
                  <c:v>316227766</c:v>
                </c:pt>
                <c:pt idx="86">
                  <c:v>398107170.60000002</c:v>
                </c:pt>
                <c:pt idx="87">
                  <c:v>501187233.60000002</c:v>
                </c:pt>
                <c:pt idx="88">
                  <c:v>630957344.5</c:v>
                </c:pt>
                <c:pt idx="89">
                  <c:v>794328234.70000005</c:v>
                </c:pt>
                <c:pt idx="90">
                  <c:v>1000000000</c:v>
                </c:pt>
              </c:numCache>
            </c:numRef>
          </c:xVal>
          <c:yVal>
            <c:numRef>
              <c:f>Лист6!$B$1:$B$91</c:f>
              <c:numCache>
                <c:formatCode>General</c:formatCode>
                <c:ptCount val="91"/>
                <c:pt idx="0">
                  <c:v>15.567</c:v>
                </c:pt>
                <c:pt idx="1">
                  <c:v>15.567</c:v>
                </c:pt>
                <c:pt idx="2">
                  <c:v>15.567</c:v>
                </c:pt>
                <c:pt idx="3">
                  <c:v>15.567</c:v>
                </c:pt>
                <c:pt idx="4">
                  <c:v>15.567</c:v>
                </c:pt>
                <c:pt idx="5">
                  <c:v>15.567</c:v>
                </c:pt>
                <c:pt idx="6">
                  <c:v>15.567</c:v>
                </c:pt>
                <c:pt idx="7">
                  <c:v>15.567</c:v>
                </c:pt>
                <c:pt idx="8">
                  <c:v>15.567</c:v>
                </c:pt>
                <c:pt idx="9">
                  <c:v>15.567</c:v>
                </c:pt>
                <c:pt idx="10">
                  <c:v>15.567</c:v>
                </c:pt>
                <c:pt idx="11">
                  <c:v>15.567</c:v>
                </c:pt>
                <c:pt idx="12">
                  <c:v>15.567</c:v>
                </c:pt>
                <c:pt idx="13">
                  <c:v>15.567</c:v>
                </c:pt>
                <c:pt idx="14">
                  <c:v>15.567</c:v>
                </c:pt>
                <c:pt idx="15">
                  <c:v>15.567</c:v>
                </c:pt>
                <c:pt idx="16">
                  <c:v>15.567</c:v>
                </c:pt>
                <c:pt idx="17">
                  <c:v>15.567</c:v>
                </c:pt>
                <c:pt idx="18">
                  <c:v>15.567</c:v>
                </c:pt>
                <c:pt idx="19">
                  <c:v>15.567</c:v>
                </c:pt>
                <c:pt idx="20">
                  <c:v>15.567</c:v>
                </c:pt>
                <c:pt idx="21">
                  <c:v>15.567</c:v>
                </c:pt>
                <c:pt idx="22">
                  <c:v>15.567</c:v>
                </c:pt>
                <c:pt idx="23">
                  <c:v>15.567</c:v>
                </c:pt>
                <c:pt idx="24">
                  <c:v>15.567</c:v>
                </c:pt>
                <c:pt idx="25">
                  <c:v>15.567</c:v>
                </c:pt>
                <c:pt idx="26">
                  <c:v>15.567</c:v>
                </c:pt>
                <c:pt idx="27">
                  <c:v>15.567</c:v>
                </c:pt>
                <c:pt idx="28">
                  <c:v>15.567</c:v>
                </c:pt>
                <c:pt idx="29">
                  <c:v>15.567</c:v>
                </c:pt>
                <c:pt idx="30">
                  <c:v>15.567</c:v>
                </c:pt>
                <c:pt idx="31">
                  <c:v>15.567</c:v>
                </c:pt>
                <c:pt idx="32">
                  <c:v>15.567</c:v>
                </c:pt>
                <c:pt idx="33">
                  <c:v>15.567</c:v>
                </c:pt>
                <c:pt idx="34">
                  <c:v>15.567</c:v>
                </c:pt>
                <c:pt idx="35">
                  <c:v>15.567</c:v>
                </c:pt>
                <c:pt idx="36">
                  <c:v>15.567</c:v>
                </c:pt>
                <c:pt idx="37">
                  <c:v>15.567</c:v>
                </c:pt>
                <c:pt idx="38">
                  <c:v>15.567</c:v>
                </c:pt>
                <c:pt idx="39">
                  <c:v>15.567</c:v>
                </c:pt>
                <c:pt idx="40">
                  <c:v>15.567</c:v>
                </c:pt>
                <c:pt idx="41">
                  <c:v>15.567</c:v>
                </c:pt>
                <c:pt idx="42">
                  <c:v>15.567</c:v>
                </c:pt>
                <c:pt idx="43">
                  <c:v>15.567</c:v>
                </c:pt>
                <c:pt idx="44">
                  <c:v>15.567</c:v>
                </c:pt>
                <c:pt idx="45">
                  <c:v>15.567</c:v>
                </c:pt>
                <c:pt idx="46">
                  <c:v>15.567</c:v>
                </c:pt>
                <c:pt idx="47">
                  <c:v>15.567</c:v>
                </c:pt>
                <c:pt idx="48">
                  <c:v>15.567</c:v>
                </c:pt>
                <c:pt idx="49">
                  <c:v>15.567</c:v>
                </c:pt>
                <c:pt idx="50">
                  <c:v>15.567</c:v>
                </c:pt>
                <c:pt idx="51">
                  <c:v>15.5669</c:v>
                </c:pt>
                <c:pt idx="52">
                  <c:v>15.5669</c:v>
                </c:pt>
                <c:pt idx="53">
                  <c:v>15.566800000000001</c:v>
                </c:pt>
                <c:pt idx="54">
                  <c:v>15.566800000000001</c:v>
                </c:pt>
                <c:pt idx="55">
                  <c:v>15.566599999999999</c:v>
                </c:pt>
                <c:pt idx="56">
                  <c:v>15.5664</c:v>
                </c:pt>
                <c:pt idx="57">
                  <c:v>15.5661</c:v>
                </c:pt>
                <c:pt idx="58">
                  <c:v>15.5655</c:v>
                </c:pt>
                <c:pt idx="59">
                  <c:v>15.5647</c:v>
                </c:pt>
                <c:pt idx="60">
                  <c:v>15.5633</c:v>
                </c:pt>
                <c:pt idx="61">
                  <c:v>15.561199999999999</c:v>
                </c:pt>
                <c:pt idx="62">
                  <c:v>15.557700000000001</c:v>
                </c:pt>
                <c:pt idx="63">
                  <c:v>15.5524</c:v>
                </c:pt>
                <c:pt idx="64">
                  <c:v>15.543799999999999</c:v>
                </c:pt>
                <c:pt idx="65">
                  <c:v>15.5303</c:v>
                </c:pt>
                <c:pt idx="66">
                  <c:v>15.509</c:v>
                </c:pt>
                <c:pt idx="67">
                  <c:v>15.4755</c:v>
                </c:pt>
                <c:pt idx="68">
                  <c:v>15.422800000000001</c:v>
                </c:pt>
                <c:pt idx="69">
                  <c:v>15.3406</c:v>
                </c:pt>
                <c:pt idx="70">
                  <c:v>15.2135</c:v>
                </c:pt>
                <c:pt idx="71">
                  <c:v>15.019399999999999</c:v>
                </c:pt>
                <c:pt idx="72">
                  <c:v>14.7286</c:v>
                </c:pt>
                <c:pt idx="73">
                  <c:v>14.3043</c:v>
                </c:pt>
                <c:pt idx="74">
                  <c:v>13.706899999999999</c:v>
                </c:pt>
                <c:pt idx="75">
                  <c:v>12.902200000000001</c:v>
                </c:pt>
                <c:pt idx="76">
                  <c:v>11.871700000000001</c:v>
                </c:pt>
                <c:pt idx="77">
                  <c:v>10.619300000000001</c:v>
                </c:pt>
                <c:pt idx="78">
                  <c:v>9.1699599999999997</c:v>
                </c:pt>
                <c:pt idx="79">
                  <c:v>7.56168</c:v>
                </c:pt>
                <c:pt idx="80">
                  <c:v>5.8350900000000001</c:v>
                </c:pt>
                <c:pt idx="81">
                  <c:v>4.0259200000000002</c:v>
                </c:pt>
                <c:pt idx="82">
                  <c:v>2.1608299999999998</c:v>
                </c:pt>
                <c:pt idx="83">
                  <c:v>0.25484899999999999</c:v>
                </c:pt>
                <c:pt idx="84">
                  <c:v>-1.69154</c:v>
                </c:pt>
                <c:pt idx="85">
                  <c:v>-3.6958500000000001</c:v>
                </c:pt>
                <c:pt idx="86">
                  <c:v>-5.7958299999999996</c:v>
                </c:pt>
                <c:pt idx="87">
                  <c:v>-8.0474899999999998</c:v>
                </c:pt>
                <c:pt idx="88">
                  <c:v>-10.5184</c:v>
                </c:pt>
                <c:pt idx="89">
                  <c:v>-13.277900000000001</c:v>
                </c:pt>
                <c:pt idx="90">
                  <c:v>-16.387499999999999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DC-4478-8F8C-F9A583E1E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483839"/>
        <c:axId val="532266895"/>
      </c:scatterChart>
      <c:valAx>
        <c:axId val="5374838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66895"/>
        <c:crosses val="autoZero"/>
        <c:crossBetween val="midCat"/>
      </c:valAx>
      <c:valAx>
        <c:axId val="53226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48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54404705304074"/>
          <c:y val="0.17114626128859525"/>
          <c:w val="0.1359147895847917"/>
          <c:h val="0.180323035650640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616892701358274E-2"/>
          <c:y val="2.4102979245557772E-2"/>
          <c:w val="0.92177072736139598"/>
          <c:h val="0.95179404150888447"/>
        </c:manualLayout>
      </c:layout>
      <c:scatterChart>
        <c:scatterStyle val="lineMarker"/>
        <c:varyColors val="0"/>
        <c:ser>
          <c:idx val="0"/>
          <c:order val="0"/>
          <c:tx>
            <c:v>АЧХ ОУ,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Лист1!$A$1:$A$101</c:f>
              <c:numCache>
                <c:formatCode>General</c:formatCode>
                <c:ptCount val="10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  <c:pt idx="51">
                  <c:v>125892.54120000001</c:v>
                </c:pt>
                <c:pt idx="52">
                  <c:v>158489.3192</c:v>
                </c:pt>
                <c:pt idx="53">
                  <c:v>199526.23149999999</c:v>
                </c:pt>
                <c:pt idx="54">
                  <c:v>251188.64319999999</c:v>
                </c:pt>
                <c:pt idx="55">
                  <c:v>316227.766</c:v>
                </c:pt>
                <c:pt idx="56">
                  <c:v>398107.17060000001</c:v>
                </c:pt>
                <c:pt idx="57">
                  <c:v>501187.23359999998</c:v>
                </c:pt>
                <c:pt idx="58">
                  <c:v>630957.34450000001</c:v>
                </c:pt>
                <c:pt idx="59">
                  <c:v>794328.23470000003</c:v>
                </c:pt>
                <c:pt idx="60">
                  <c:v>1000000</c:v>
                </c:pt>
                <c:pt idx="61">
                  <c:v>1258925.412</c:v>
                </c:pt>
                <c:pt idx="62">
                  <c:v>1584893.192</c:v>
                </c:pt>
                <c:pt idx="63">
                  <c:v>1995262.3149999999</c:v>
                </c:pt>
                <c:pt idx="64">
                  <c:v>2511886.432</c:v>
                </c:pt>
                <c:pt idx="65">
                  <c:v>3162277.66</c:v>
                </c:pt>
                <c:pt idx="66">
                  <c:v>3981071.7059999998</c:v>
                </c:pt>
                <c:pt idx="67">
                  <c:v>5011872.3360000001</c:v>
                </c:pt>
                <c:pt idx="68">
                  <c:v>6309573.4450000003</c:v>
                </c:pt>
                <c:pt idx="69">
                  <c:v>7943282.3470000001</c:v>
                </c:pt>
                <c:pt idx="70">
                  <c:v>10000000</c:v>
                </c:pt>
                <c:pt idx="71">
                  <c:v>12589254.119999999</c:v>
                </c:pt>
                <c:pt idx="72">
                  <c:v>15848931.92</c:v>
                </c:pt>
                <c:pt idx="73">
                  <c:v>19952623.149999999</c:v>
                </c:pt>
                <c:pt idx="74">
                  <c:v>25118864.32</c:v>
                </c:pt>
                <c:pt idx="75">
                  <c:v>31622776.600000001</c:v>
                </c:pt>
                <c:pt idx="76">
                  <c:v>39810717.060000002</c:v>
                </c:pt>
                <c:pt idx="77">
                  <c:v>50118723.359999999</c:v>
                </c:pt>
                <c:pt idx="78">
                  <c:v>63095734.450000003</c:v>
                </c:pt>
                <c:pt idx="79">
                  <c:v>79432823.469999999</c:v>
                </c:pt>
                <c:pt idx="80">
                  <c:v>100000000</c:v>
                </c:pt>
                <c:pt idx="81">
                  <c:v>125892541.2</c:v>
                </c:pt>
                <c:pt idx="82">
                  <c:v>158489319.19999999</c:v>
                </c:pt>
                <c:pt idx="83">
                  <c:v>199526231.5</c:v>
                </c:pt>
                <c:pt idx="84">
                  <c:v>251188643.19999999</c:v>
                </c:pt>
                <c:pt idx="85">
                  <c:v>316227766</c:v>
                </c:pt>
                <c:pt idx="86">
                  <c:v>398107170.60000002</c:v>
                </c:pt>
                <c:pt idx="87">
                  <c:v>501187233.60000002</c:v>
                </c:pt>
                <c:pt idx="88">
                  <c:v>630957344.5</c:v>
                </c:pt>
                <c:pt idx="89">
                  <c:v>794328234.70000005</c:v>
                </c:pt>
                <c:pt idx="90">
                  <c:v>1000000000</c:v>
                </c:pt>
                <c:pt idx="91">
                  <c:v>1258925412</c:v>
                </c:pt>
                <c:pt idx="92">
                  <c:v>1584893192</c:v>
                </c:pt>
                <c:pt idx="93">
                  <c:v>1995262315</c:v>
                </c:pt>
                <c:pt idx="94">
                  <c:v>2511886432</c:v>
                </c:pt>
                <c:pt idx="95">
                  <c:v>3162277660</c:v>
                </c:pt>
                <c:pt idx="96">
                  <c:v>3981071706</c:v>
                </c:pt>
                <c:pt idx="97">
                  <c:v>5011872336</c:v>
                </c:pt>
                <c:pt idx="98">
                  <c:v>6309573445</c:v>
                </c:pt>
                <c:pt idx="99">
                  <c:v>7943282347</c:v>
                </c:pt>
                <c:pt idx="100" formatCode="0.00E+00">
                  <c:v>10000000000</c:v>
                </c:pt>
              </c:numCache>
            </c:numRef>
          </c:xVal>
          <c:yVal>
            <c:numRef>
              <c:f>Лист1!$B$1:$B$101</c:f>
              <c:numCache>
                <c:formatCode>General</c:formatCode>
                <c:ptCount val="101"/>
                <c:pt idx="0">
                  <c:v>82.397999999999996</c:v>
                </c:pt>
                <c:pt idx="1">
                  <c:v>82.397999999999996</c:v>
                </c:pt>
                <c:pt idx="2">
                  <c:v>82.397999999999996</c:v>
                </c:pt>
                <c:pt idx="3">
                  <c:v>82.397999999999996</c:v>
                </c:pt>
                <c:pt idx="4">
                  <c:v>82.397999999999996</c:v>
                </c:pt>
                <c:pt idx="5">
                  <c:v>82.397999999999996</c:v>
                </c:pt>
                <c:pt idx="6">
                  <c:v>82.397999999999996</c:v>
                </c:pt>
                <c:pt idx="7">
                  <c:v>82.397999999999996</c:v>
                </c:pt>
                <c:pt idx="8">
                  <c:v>82.397999999999996</c:v>
                </c:pt>
                <c:pt idx="9">
                  <c:v>82.397999999999996</c:v>
                </c:pt>
                <c:pt idx="10">
                  <c:v>82.397999999999996</c:v>
                </c:pt>
                <c:pt idx="11">
                  <c:v>82.397999999999996</c:v>
                </c:pt>
                <c:pt idx="12">
                  <c:v>82.397999999999996</c:v>
                </c:pt>
                <c:pt idx="13">
                  <c:v>82.397999999999996</c:v>
                </c:pt>
                <c:pt idx="14">
                  <c:v>82.397999999999996</c:v>
                </c:pt>
                <c:pt idx="15">
                  <c:v>82.397900000000007</c:v>
                </c:pt>
                <c:pt idx="16">
                  <c:v>82.397900000000007</c:v>
                </c:pt>
                <c:pt idx="17">
                  <c:v>82.397900000000007</c:v>
                </c:pt>
                <c:pt idx="18">
                  <c:v>82.397900000000007</c:v>
                </c:pt>
                <c:pt idx="19">
                  <c:v>82.397900000000007</c:v>
                </c:pt>
                <c:pt idx="20">
                  <c:v>82.397800000000004</c:v>
                </c:pt>
                <c:pt idx="21">
                  <c:v>82.397800000000004</c:v>
                </c:pt>
                <c:pt idx="22">
                  <c:v>82.397599999999997</c:v>
                </c:pt>
                <c:pt idx="23">
                  <c:v>82.397400000000005</c:v>
                </c:pt>
                <c:pt idx="24">
                  <c:v>82.397099999999995</c:v>
                </c:pt>
                <c:pt idx="25">
                  <c:v>82.396699999999996</c:v>
                </c:pt>
                <c:pt idx="26">
                  <c:v>82.395899999999997</c:v>
                </c:pt>
                <c:pt idx="27">
                  <c:v>82.3947</c:v>
                </c:pt>
                <c:pt idx="28">
                  <c:v>82.392799999999994</c:v>
                </c:pt>
                <c:pt idx="29">
                  <c:v>82.389799999999994</c:v>
                </c:pt>
                <c:pt idx="30">
                  <c:v>82.385000000000005</c:v>
                </c:pt>
                <c:pt idx="31">
                  <c:v>82.377399999999994</c:v>
                </c:pt>
                <c:pt idx="32">
                  <c:v>82.365499999999997</c:v>
                </c:pt>
                <c:pt idx="33">
                  <c:v>82.346599999999995</c:v>
                </c:pt>
                <c:pt idx="34">
                  <c:v>82.316800000000001</c:v>
                </c:pt>
                <c:pt idx="35">
                  <c:v>82.270099999999999</c:v>
                </c:pt>
                <c:pt idx="36">
                  <c:v>82.197000000000003</c:v>
                </c:pt>
                <c:pt idx="37">
                  <c:v>82.083600000000004</c:v>
                </c:pt>
                <c:pt idx="38">
                  <c:v>81.909800000000004</c:v>
                </c:pt>
                <c:pt idx="39">
                  <c:v>81.647800000000004</c:v>
                </c:pt>
                <c:pt idx="40">
                  <c:v>81.262500000000003</c:v>
                </c:pt>
                <c:pt idx="41">
                  <c:v>80.714200000000005</c:v>
                </c:pt>
                <c:pt idx="42">
                  <c:v>79.966099999999997</c:v>
                </c:pt>
                <c:pt idx="43">
                  <c:v>78.994299999999996</c:v>
                </c:pt>
                <c:pt idx="44">
                  <c:v>77.795900000000003</c:v>
                </c:pt>
                <c:pt idx="45">
                  <c:v>76.390199999999993</c:v>
                </c:pt>
                <c:pt idx="46">
                  <c:v>74.811899999999994</c:v>
                </c:pt>
                <c:pt idx="47">
                  <c:v>73.100700000000003</c:v>
                </c:pt>
                <c:pt idx="48">
                  <c:v>71.293300000000002</c:v>
                </c:pt>
                <c:pt idx="49">
                  <c:v>69.419399999999996</c:v>
                </c:pt>
                <c:pt idx="50">
                  <c:v>67.500900000000001</c:v>
                </c:pt>
                <c:pt idx="51">
                  <c:v>65.553100000000001</c:v>
                </c:pt>
                <c:pt idx="52">
                  <c:v>63.586399999999998</c:v>
                </c:pt>
                <c:pt idx="53">
                  <c:v>61.607500000000002</c:v>
                </c:pt>
                <c:pt idx="54">
                  <c:v>59.620899999999999</c:v>
                </c:pt>
                <c:pt idx="55">
                  <c:v>57.629399999999997</c:v>
                </c:pt>
                <c:pt idx="56">
                  <c:v>55.634700000000002</c:v>
                </c:pt>
                <c:pt idx="57">
                  <c:v>53.638100000000001</c:v>
                </c:pt>
                <c:pt idx="58">
                  <c:v>51.6402</c:v>
                </c:pt>
                <c:pt idx="59">
                  <c:v>49.641599999999997</c:v>
                </c:pt>
                <c:pt idx="60">
                  <c:v>47.642400000000002</c:v>
                </c:pt>
                <c:pt idx="61">
                  <c:v>45.642899999999997</c:v>
                </c:pt>
                <c:pt idx="62">
                  <c:v>43.643300000000004</c:v>
                </c:pt>
                <c:pt idx="63">
                  <c:v>41.643500000000003</c:v>
                </c:pt>
                <c:pt idx="64">
                  <c:v>39.643599999999999</c:v>
                </c:pt>
                <c:pt idx="65">
                  <c:v>37.643700000000003</c:v>
                </c:pt>
                <c:pt idx="66">
                  <c:v>35.643700000000003</c:v>
                </c:pt>
                <c:pt idx="67">
                  <c:v>33.643700000000003</c:v>
                </c:pt>
                <c:pt idx="68">
                  <c:v>31.643599999999999</c:v>
                </c:pt>
                <c:pt idx="69">
                  <c:v>29.6435</c:v>
                </c:pt>
                <c:pt idx="70">
                  <c:v>27.6433</c:v>
                </c:pt>
                <c:pt idx="71">
                  <c:v>25.642900000000001</c:v>
                </c:pt>
                <c:pt idx="72">
                  <c:v>23.642299999999999</c:v>
                </c:pt>
                <c:pt idx="73">
                  <c:v>21.641500000000001</c:v>
                </c:pt>
                <c:pt idx="74">
                  <c:v>19.6401</c:v>
                </c:pt>
                <c:pt idx="75">
                  <c:v>17.637799999999999</c:v>
                </c:pt>
                <c:pt idx="76">
                  <c:v>15.6343</c:v>
                </c:pt>
                <c:pt idx="77">
                  <c:v>13.6288</c:v>
                </c:pt>
                <c:pt idx="78">
                  <c:v>11.62</c:v>
                </c:pt>
                <c:pt idx="79">
                  <c:v>9.6060099999999995</c:v>
                </c:pt>
                <c:pt idx="80">
                  <c:v>7.58399</c:v>
                </c:pt>
                <c:pt idx="81">
                  <c:v>5.5492800000000004</c:v>
                </c:pt>
                <c:pt idx="82">
                  <c:v>3.49472</c:v>
                </c:pt>
                <c:pt idx="83">
                  <c:v>1.40934</c:v>
                </c:pt>
                <c:pt idx="84">
                  <c:v>-0.72330000000000005</c:v>
                </c:pt>
                <c:pt idx="85">
                  <c:v>-2.9272399999999998</c:v>
                </c:pt>
                <c:pt idx="86">
                  <c:v>-5.2360800000000003</c:v>
                </c:pt>
                <c:pt idx="87">
                  <c:v>-7.6940799999999996</c:v>
                </c:pt>
                <c:pt idx="88">
                  <c:v>-10.354900000000001</c:v>
                </c:pt>
                <c:pt idx="89">
                  <c:v>-13.277200000000001</c:v>
                </c:pt>
                <c:pt idx="90">
                  <c:v>-16.517199999999999</c:v>
                </c:pt>
                <c:pt idx="91">
                  <c:v>-20.121099999999998</c:v>
                </c:pt>
                <c:pt idx="92">
                  <c:v>-24.121400000000001</c:v>
                </c:pt>
                <c:pt idx="93">
                  <c:v>-28.535399999999999</c:v>
                </c:pt>
                <c:pt idx="94">
                  <c:v>-33.365900000000003</c:v>
                </c:pt>
                <c:pt idx="95">
                  <c:v>-38.603400000000001</c:v>
                </c:pt>
                <c:pt idx="96">
                  <c:v>-44.2301</c:v>
                </c:pt>
                <c:pt idx="97">
                  <c:v>-50.226700000000001</c:v>
                </c:pt>
                <c:pt idx="98">
                  <c:v>-56.575800000000001</c:v>
                </c:pt>
                <c:pt idx="99">
                  <c:v>-63.258499999999998</c:v>
                </c:pt>
                <c:pt idx="100">
                  <c:v>-70.247699999999995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A2-4DD3-B65D-0DE49E430BF9}"/>
            </c:ext>
          </c:extLst>
        </c:ser>
        <c:ser>
          <c:idx val="1"/>
          <c:order val="1"/>
          <c:tx>
            <c:v>АЧХ ОУmax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Лист1!$V$5:$V$6</c:f>
              <c:numCache>
                <c:formatCode>General</c:formatCode>
                <c:ptCount val="2"/>
                <c:pt idx="0">
                  <c:v>1</c:v>
                </c:pt>
                <c:pt idx="1">
                  <c:v>10000000000</c:v>
                </c:pt>
              </c:numCache>
            </c:numRef>
          </c:xVal>
          <c:yVal>
            <c:numRef>
              <c:f>Лист1!$W$5:$W$6</c:f>
              <c:numCache>
                <c:formatCode>General</c:formatCode>
                <c:ptCount val="2"/>
                <c:pt idx="0">
                  <c:v>79.387999999999991</c:v>
                </c:pt>
                <c:pt idx="1">
                  <c:v>79.387999999999991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A2-4DD3-B65D-0DE49E430BF9}"/>
            </c:ext>
          </c:extLst>
        </c:ser>
        <c:ser>
          <c:idx val="2"/>
          <c:order val="2"/>
          <c:tx>
            <c:v>-20 дБ/дек</c:v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Лист1!$V$10:$V$14</c:f>
              <c:numCache>
                <c:formatCode>General</c:formatCode>
                <c:ptCount val="5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  <c:pt idx="3">
                  <c:v>10000000</c:v>
                </c:pt>
                <c:pt idx="4">
                  <c:v>100000000</c:v>
                </c:pt>
              </c:numCache>
            </c:numRef>
          </c:xVal>
          <c:yVal>
            <c:numRef>
              <c:f>Лист1!$W$10:$W$14</c:f>
              <c:numCache>
                <c:formatCode>General</c:formatCode>
                <c:ptCount val="5"/>
                <c:pt idx="0">
                  <c:v>87.500900000000001</c:v>
                </c:pt>
                <c:pt idx="1">
                  <c:v>67.500900000000001</c:v>
                </c:pt>
                <c:pt idx="2">
                  <c:v>47.642400000000002</c:v>
                </c:pt>
                <c:pt idx="3">
                  <c:v>27.6433</c:v>
                </c:pt>
                <c:pt idx="4">
                  <c:v>7.58399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A2-4DD3-B65D-0DE49E430BF9}"/>
            </c:ext>
          </c:extLst>
        </c:ser>
        <c:ser>
          <c:idx val="4"/>
          <c:order val="3"/>
          <c:tx>
            <c:v>АЧХ, дБ</c:v>
          </c:tx>
          <c:spPr>
            <a:ln w="19050" cap="rnd">
              <a:solidFill>
                <a:srgbClr val="D434C1"/>
              </a:solidFill>
              <a:round/>
            </a:ln>
            <a:effectLst/>
          </c:spPr>
          <c:marker>
            <c:symbol val="none"/>
          </c:marker>
          <c:xVal>
            <c:numRef>
              <c:f>Лист7!$A$1:$A$101</c:f>
              <c:numCache>
                <c:formatCode>General</c:formatCode>
                <c:ptCount val="10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  <c:pt idx="51">
                  <c:v>125892.54120000001</c:v>
                </c:pt>
                <c:pt idx="52">
                  <c:v>158489.3192</c:v>
                </c:pt>
                <c:pt idx="53">
                  <c:v>199526.23149999999</c:v>
                </c:pt>
                <c:pt idx="54">
                  <c:v>251188.64319999999</c:v>
                </c:pt>
                <c:pt idx="55">
                  <c:v>316227.766</c:v>
                </c:pt>
                <c:pt idx="56">
                  <c:v>398107.17060000001</c:v>
                </c:pt>
                <c:pt idx="57">
                  <c:v>501187.23359999998</c:v>
                </c:pt>
                <c:pt idx="58">
                  <c:v>630957.34450000001</c:v>
                </c:pt>
                <c:pt idx="59">
                  <c:v>794328.23470000003</c:v>
                </c:pt>
                <c:pt idx="60">
                  <c:v>1000000</c:v>
                </c:pt>
                <c:pt idx="61">
                  <c:v>1258925.412</c:v>
                </c:pt>
                <c:pt idx="62">
                  <c:v>1584893.192</c:v>
                </c:pt>
                <c:pt idx="63">
                  <c:v>1995262.3149999999</c:v>
                </c:pt>
                <c:pt idx="64">
                  <c:v>2511886.432</c:v>
                </c:pt>
                <c:pt idx="65">
                  <c:v>3162277.66</c:v>
                </c:pt>
                <c:pt idx="66">
                  <c:v>3981071.7059999998</c:v>
                </c:pt>
                <c:pt idx="67">
                  <c:v>5011872.3360000001</c:v>
                </c:pt>
                <c:pt idx="68">
                  <c:v>6309573.4450000003</c:v>
                </c:pt>
                <c:pt idx="69">
                  <c:v>7943282.3470000001</c:v>
                </c:pt>
                <c:pt idx="70">
                  <c:v>10000000</c:v>
                </c:pt>
                <c:pt idx="71">
                  <c:v>12589254.119999999</c:v>
                </c:pt>
                <c:pt idx="72">
                  <c:v>15848931.92</c:v>
                </c:pt>
                <c:pt idx="73">
                  <c:v>19952623.149999999</c:v>
                </c:pt>
                <c:pt idx="74">
                  <c:v>25118864.32</c:v>
                </c:pt>
                <c:pt idx="75">
                  <c:v>31622776.600000001</c:v>
                </c:pt>
                <c:pt idx="76">
                  <c:v>39810717.060000002</c:v>
                </c:pt>
                <c:pt idx="77">
                  <c:v>50118723.359999999</c:v>
                </c:pt>
                <c:pt idx="78">
                  <c:v>63095734.450000003</c:v>
                </c:pt>
                <c:pt idx="79">
                  <c:v>79432823.469999999</c:v>
                </c:pt>
                <c:pt idx="80">
                  <c:v>100000000</c:v>
                </c:pt>
                <c:pt idx="81">
                  <c:v>125892541.2</c:v>
                </c:pt>
                <c:pt idx="82">
                  <c:v>158489319.19999999</c:v>
                </c:pt>
                <c:pt idx="83">
                  <c:v>199526231.5</c:v>
                </c:pt>
                <c:pt idx="84">
                  <c:v>251188643.19999999</c:v>
                </c:pt>
                <c:pt idx="85">
                  <c:v>316227766</c:v>
                </c:pt>
                <c:pt idx="86">
                  <c:v>398107170.60000002</c:v>
                </c:pt>
                <c:pt idx="87">
                  <c:v>501187233.60000002</c:v>
                </c:pt>
                <c:pt idx="88">
                  <c:v>630957344.5</c:v>
                </c:pt>
                <c:pt idx="89">
                  <c:v>794328234.70000005</c:v>
                </c:pt>
                <c:pt idx="90">
                  <c:v>1000000000</c:v>
                </c:pt>
                <c:pt idx="91">
                  <c:v>1258925412</c:v>
                </c:pt>
                <c:pt idx="92">
                  <c:v>1584893192</c:v>
                </c:pt>
                <c:pt idx="93">
                  <c:v>1995262315</c:v>
                </c:pt>
                <c:pt idx="94">
                  <c:v>2511886432</c:v>
                </c:pt>
                <c:pt idx="95">
                  <c:v>3162277660</c:v>
                </c:pt>
                <c:pt idx="96">
                  <c:v>3981071706</c:v>
                </c:pt>
                <c:pt idx="97">
                  <c:v>5011872336</c:v>
                </c:pt>
                <c:pt idx="98">
                  <c:v>6309573445</c:v>
                </c:pt>
                <c:pt idx="99">
                  <c:v>7943282347</c:v>
                </c:pt>
                <c:pt idx="100" formatCode="0.00E+00">
                  <c:v>10000000000</c:v>
                </c:pt>
              </c:numCache>
            </c:numRef>
          </c:xVal>
          <c:yVal>
            <c:numRef>
              <c:f>Лист7!$B$1:$B$101</c:f>
              <c:numCache>
                <c:formatCode>General</c:formatCode>
                <c:ptCount val="101"/>
                <c:pt idx="0">
                  <c:v>15.567</c:v>
                </c:pt>
                <c:pt idx="1">
                  <c:v>15.567</c:v>
                </c:pt>
                <c:pt idx="2">
                  <c:v>15.567</c:v>
                </c:pt>
                <c:pt idx="3">
                  <c:v>15.567</c:v>
                </c:pt>
                <c:pt idx="4">
                  <c:v>15.567</c:v>
                </c:pt>
                <c:pt idx="5">
                  <c:v>15.567</c:v>
                </c:pt>
                <c:pt idx="6">
                  <c:v>15.567</c:v>
                </c:pt>
                <c:pt idx="7">
                  <c:v>15.567</c:v>
                </c:pt>
                <c:pt idx="8">
                  <c:v>15.567</c:v>
                </c:pt>
                <c:pt idx="9">
                  <c:v>15.567</c:v>
                </c:pt>
                <c:pt idx="10">
                  <c:v>15.567</c:v>
                </c:pt>
                <c:pt idx="11">
                  <c:v>15.567</c:v>
                </c:pt>
                <c:pt idx="12">
                  <c:v>15.567</c:v>
                </c:pt>
                <c:pt idx="13">
                  <c:v>15.567</c:v>
                </c:pt>
                <c:pt idx="14">
                  <c:v>15.567</c:v>
                </c:pt>
                <c:pt idx="15">
                  <c:v>15.567</c:v>
                </c:pt>
                <c:pt idx="16">
                  <c:v>15.567</c:v>
                </c:pt>
                <c:pt idx="17">
                  <c:v>15.567</c:v>
                </c:pt>
                <c:pt idx="18">
                  <c:v>15.567</c:v>
                </c:pt>
                <c:pt idx="19">
                  <c:v>15.567</c:v>
                </c:pt>
                <c:pt idx="20">
                  <c:v>15.567</c:v>
                </c:pt>
                <c:pt idx="21">
                  <c:v>15.567</c:v>
                </c:pt>
                <c:pt idx="22">
                  <c:v>15.567</c:v>
                </c:pt>
                <c:pt idx="23">
                  <c:v>15.567</c:v>
                </c:pt>
                <c:pt idx="24">
                  <c:v>15.567</c:v>
                </c:pt>
                <c:pt idx="25">
                  <c:v>15.567</c:v>
                </c:pt>
                <c:pt idx="26">
                  <c:v>15.567</c:v>
                </c:pt>
                <c:pt idx="27">
                  <c:v>15.567</c:v>
                </c:pt>
                <c:pt idx="28">
                  <c:v>15.567</c:v>
                </c:pt>
                <c:pt idx="29">
                  <c:v>15.567</c:v>
                </c:pt>
                <c:pt idx="30">
                  <c:v>15.567</c:v>
                </c:pt>
                <c:pt idx="31">
                  <c:v>15.567</c:v>
                </c:pt>
                <c:pt idx="32">
                  <c:v>15.567</c:v>
                </c:pt>
                <c:pt idx="33">
                  <c:v>15.567</c:v>
                </c:pt>
                <c:pt idx="34">
                  <c:v>15.567</c:v>
                </c:pt>
                <c:pt idx="35">
                  <c:v>15.567</c:v>
                </c:pt>
                <c:pt idx="36">
                  <c:v>15.567</c:v>
                </c:pt>
                <c:pt idx="37">
                  <c:v>15.567</c:v>
                </c:pt>
                <c:pt idx="38">
                  <c:v>15.567</c:v>
                </c:pt>
                <c:pt idx="39">
                  <c:v>15.567</c:v>
                </c:pt>
                <c:pt idx="40">
                  <c:v>15.567</c:v>
                </c:pt>
                <c:pt idx="41">
                  <c:v>15.567</c:v>
                </c:pt>
                <c:pt idx="42">
                  <c:v>15.567</c:v>
                </c:pt>
                <c:pt idx="43">
                  <c:v>15.567</c:v>
                </c:pt>
                <c:pt idx="44">
                  <c:v>15.567</c:v>
                </c:pt>
                <c:pt idx="45">
                  <c:v>15.567</c:v>
                </c:pt>
                <c:pt idx="46">
                  <c:v>15.567</c:v>
                </c:pt>
                <c:pt idx="47">
                  <c:v>15.567</c:v>
                </c:pt>
                <c:pt idx="48">
                  <c:v>15.567</c:v>
                </c:pt>
                <c:pt idx="49">
                  <c:v>15.567</c:v>
                </c:pt>
                <c:pt idx="50">
                  <c:v>15.567</c:v>
                </c:pt>
                <c:pt idx="51">
                  <c:v>15.5669</c:v>
                </c:pt>
                <c:pt idx="52">
                  <c:v>15.5669</c:v>
                </c:pt>
                <c:pt idx="53">
                  <c:v>15.566800000000001</c:v>
                </c:pt>
                <c:pt idx="54">
                  <c:v>15.566800000000001</c:v>
                </c:pt>
                <c:pt idx="55">
                  <c:v>15.566599999999999</c:v>
                </c:pt>
                <c:pt idx="56">
                  <c:v>15.5664</c:v>
                </c:pt>
                <c:pt idx="57">
                  <c:v>15.5661</c:v>
                </c:pt>
                <c:pt idx="58">
                  <c:v>15.5655</c:v>
                </c:pt>
                <c:pt idx="59">
                  <c:v>15.5647</c:v>
                </c:pt>
                <c:pt idx="60">
                  <c:v>15.5633</c:v>
                </c:pt>
                <c:pt idx="61">
                  <c:v>15.561199999999999</c:v>
                </c:pt>
                <c:pt idx="62">
                  <c:v>15.557700000000001</c:v>
                </c:pt>
                <c:pt idx="63">
                  <c:v>15.5524</c:v>
                </c:pt>
                <c:pt idx="64">
                  <c:v>15.543799999999999</c:v>
                </c:pt>
                <c:pt idx="65">
                  <c:v>15.5303</c:v>
                </c:pt>
                <c:pt idx="66">
                  <c:v>15.509</c:v>
                </c:pt>
                <c:pt idx="67">
                  <c:v>15.4755</c:v>
                </c:pt>
                <c:pt idx="68">
                  <c:v>15.422800000000001</c:v>
                </c:pt>
                <c:pt idx="69">
                  <c:v>15.3406</c:v>
                </c:pt>
                <c:pt idx="70">
                  <c:v>15.2135</c:v>
                </c:pt>
                <c:pt idx="71">
                  <c:v>15.019399999999999</c:v>
                </c:pt>
                <c:pt idx="72">
                  <c:v>14.7286</c:v>
                </c:pt>
                <c:pt idx="73">
                  <c:v>14.3043</c:v>
                </c:pt>
                <c:pt idx="74">
                  <c:v>13.706899999999999</c:v>
                </c:pt>
                <c:pt idx="75">
                  <c:v>12.902200000000001</c:v>
                </c:pt>
                <c:pt idx="76">
                  <c:v>11.871700000000001</c:v>
                </c:pt>
                <c:pt idx="77">
                  <c:v>10.619300000000001</c:v>
                </c:pt>
                <c:pt idx="78">
                  <c:v>9.1699599999999997</c:v>
                </c:pt>
                <c:pt idx="79">
                  <c:v>7.56168</c:v>
                </c:pt>
                <c:pt idx="80">
                  <c:v>5.8350900000000001</c:v>
                </c:pt>
                <c:pt idx="81">
                  <c:v>4.0259200000000002</c:v>
                </c:pt>
                <c:pt idx="82">
                  <c:v>2.1608299999999998</c:v>
                </c:pt>
                <c:pt idx="83">
                  <c:v>0.25484899999999999</c:v>
                </c:pt>
                <c:pt idx="84">
                  <c:v>-1.69154</c:v>
                </c:pt>
                <c:pt idx="85">
                  <c:v>-3.6958500000000001</c:v>
                </c:pt>
                <c:pt idx="86">
                  <c:v>-5.7958299999999996</c:v>
                </c:pt>
                <c:pt idx="87">
                  <c:v>-8.0474899999999998</c:v>
                </c:pt>
                <c:pt idx="88">
                  <c:v>-10.5184</c:v>
                </c:pt>
                <c:pt idx="89">
                  <c:v>-13.277900000000001</c:v>
                </c:pt>
                <c:pt idx="90">
                  <c:v>-16.387499999999999</c:v>
                </c:pt>
                <c:pt idx="91">
                  <c:v>-19.892199999999999</c:v>
                </c:pt>
                <c:pt idx="92">
                  <c:v>-23.8171</c:v>
                </c:pt>
                <c:pt idx="93">
                  <c:v>-28.1647</c:v>
                </c:pt>
                <c:pt idx="94">
                  <c:v>-32.909700000000001</c:v>
                </c:pt>
                <c:pt idx="95">
                  <c:v>-37.980600000000003</c:v>
                </c:pt>
                <c:pt idx="96">
                  <c:v>-43.218299999999999</c:v>
                </c:pt>
                <c:pt idx="97">
                  <c:v>-48.296999999999997</c:v>
                </c:pt>
                <c:pt idx="98">
                  <c:v>-52.6374</c:v>
                </c:pt>
                <c:pt idx="99">
                  <c:v>-55.463500000000003</c:v>
                </c:pt>
                <c:pt idx="100">
                  <c:v>-56.283700000000003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A2-4DD3-B65D-0DE49E430BF9}"/>
            </c:ext>
          </c:extLst>
        </c:ser>
        <c:ser>
          <c:idx val="5"/>
          <c:order val="4"/>
          <c:tx>
            <c:v>АЧХmax - 3,01, дБ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Лист7!$F$3:$F$4</c:f>
              <c:numCache>
                <c:formatCode>General</c:formatCode>
                <c:ptCount val="2"/>
                <c:pt idx="0">
                  <c:v>1</c:v>
                </c:pt>
                <c:pt idx="1">
                  <c:v>10000000000</c:v>
                </c:pt>
              </c:numCache>
            </c:numRef>
          </c:xVal>
          <c:yVal>
            <c:numRef>
              <c:f>Лист7!$G$3:$G$4</c:f>
              <c:numCache>
                <c:formatCode>General</c:formatCode>
                <c:ptCount val="2"/>
                <c:pt idx="0">
                  <c:v>12.557</c:v>
                </c:pt>
                <c:pt idx="1">
                  <c:v>12.557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A2-4DD3-B65D-0DE49E430BF9}"/>
            </c:ext>
          </c:extLst>
        </c:ser>
        <c:ser>
          <c:idx val="3"/>
          <c:order val="5"/>
          <c:tx>
            <c:v>-40 дБ/дек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Лист7!$U$33:$U$35</c:f>
              <c:numCache>
                <c:formatCode>0.00E+00</c:formatCode>
                <c:ptCount val="3"/>
                <c:pt idx="0">
                  <c:v>10000000000</c:v>
                </c:pt>
                <c:pt idx="1">
                  <c:v>2400000000</c:v>
                </c:pt>
                <c:pt idx="2">
                  <c:v>1000000000</c:v>
                </c:pt>
              </c:numCache>
            </c:numRef>
          </c:xVal>
          <c:yVal>
            <c:numRef>
              <c:f>Лист7!$V$33:$V$35</c:f>
              <c:numCache>
                <c:formatCode>General</c:formatCode>
                <c:ptCount val="3"/>
                <c:pt idx="0">
                  <c:v>-70.247699999999995</c:v>
                </c:pt>
                <c:pt idx="1">
                  <c:v>-30.247699999999995</c:v>
                </c:pt>
                <c:pt idx="2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38-44EF-B4DE-EC89AA004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483839"/>
        <c:axId val="532266895"/>
      </c:scatterChart>
      <c:valAx>
        <c:axId val="5374838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66895"/>
        <c:crosses val="autoZero"/>
        <c:crossBetween val="midCat"/>
      </c:valAx>
      <c:valAx>
        <c:axId val="53226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48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28195928370917"/>
          <c:y val="0.16491460842348776"/>
          <c:w val="0.2018930630304209"/>
          <c:h val="0.2394006364459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162393456276481E-2"/>
          <c:y val="8.6602895341207367E-2"/>
          <c:w val="0.92177072736139598"/>
          <c:h val="0.89710650426509186"/>
        </c:manualLayout>
      </c:layout>
      <c:scatterChart>
        <c:scatterStyle val="lineMarker"/>
        <c:varyColors val="0"/>
        <c:ser>
          <c:idx val="4"/>
          <c:order val="3"/>
          <c:tx>
            <c:v>АЧХ, дБ</c:v>
          </c:tx>
          <c:spPr>
            <a:ln w="19050" cap="rnd">
              <a:solidFill>
                <a:srgbClr val="D434C1"/>
              </a:solidFill>
              <a:round/>
            </a:ln>
            <a:effectLst/>
          </c:spPr>
          <c:marker>
            <c:symbol val="none"/>
          </c:marker>
          <c:xVal>
            <c:numRef>
              <c:f>Лист7!$A$1:$A$101</c:f>
              <c:numCache>
                <c:formatCode>General</c:formatCode>
                <c:ptCount val="10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  <c:pt idx="51">
                  <c:v>125892.54120000001</c:v>
                </c:pt>
                <c:pt idx="52">
                  <c:v>158489.3192</c:v>
                </c:pt>
                <c:pt idx="53">
                  <c:v>199526.23149999999</c:v>
                </c:pt>
                <c:pt idx="54">
                  <c:v>251188.64319999999</c:v>
                </c:pt>
                <c:pt idx="55">
                  <c:v>316227.766</c:v>
                </c:pt>
                <c:pt idx="56">
                  <c:v>398107.17060000001</c:v>
                </c:pt>
                <c:pt idx="57">
                  <c:v>501187.23359999998</c:v>
                </c:pt>
                <c:pt idx="58">
                  <c:v>630957.34450000001</c:v>
                </c:pt>
                <c:pt idx="59">
                  <c:v>794328.23470000003</c:v>
                </c:pt>
                <c:pt idx="60">
                  <c:v>1000000</c:v>
                </c:pt>
                <c:pt idx="61">
                  <c:v>1258925.412</c:v>
                </c:pt>
                <c:pt idx="62">
                  <c:v>1584893.192</c:v>
                </c:pt>
                <c:pt idx="63">
                  <c:v>1995262.3149999999</c:v>
                </c:pt>
                <c:pt idx="64">
                  <c:v>2511886.432</c:v>
                </c:pt>
                <c:pt idx="65">
                  <c:v>3162277.66</c:v>
                </c:pt>
                <c:pt idx="66">
                  <c:v>3981071.7059999998</c:v>
                </c:pt>
                <c:pt idx="67">
                  <c:v>5011872.3360000001</c:v>
                </c:pt>
                <c:pt idx="68">
                  <c:v>6309573.4450000003</c:v>
                </c:pt>
                <c:pt idx="69">
                  <c:v>7943282.3470000001</c:v>
                </c:pt>
                <c:pt idx="70">
                  <c:v>10000000</c:v>
                </c:pt>
                <c:pt idx="71">
                  <c:v>12589254.119999999</c:v>
                </c:pt>
                <c:pt idx="72">
                  <c:v>15848931.92</c:v>
                </c:pt>
                <c:pt idx="73">
                  <c:v>19952623.149999999</c:v>
                </c:pt>
                <c:pt idx="74">
                  <c:v>25118864.32</c:v>
                </c:pt>
                <c:pt idx="75">
                  <c:v>31622776.600000001</c:v>
                </c:pt>
                <c:pt idx="76">
                  <c:v>39810717.060000002</c:v>
                </c:pt>
                <c:pt idx="77">
                  <c:v>50118723.359999999</c:v>
                </c:pt>
                <c:pt idx="78">
                  <c:v>63095734.450000003</c:v>
                </c:pt>
                <c:pt idx="79">
                  <c:v>79432823.469999999</c:v>
                </c:pt>
                <c:pt idx="80">
                  <c:v>100000000</c:v>
                </c:pt>
                <c:pt idx="81">
                  <c:v>125892541.2</c:v>
                </c:pt>
                <c:pt idx="82">
                  <c:v>158489319.19999999</c:v>
                </c:pt>
                <c:pt idx="83">
                  <c:v>199526231.5</c:v>
                </c:pt>
                <c:pt idx="84">
                  <c:v>251188643.19999999</c:v>
                </c:pt>
                <c:pt idx="85">
                  <c:v>316227766</c:v>
                </c:pt>
                <c:pt idx="86">
                  <c:v>398107170.60000002</c:v>
                </c:pt>
                <c:pt idx="87">
                  <c:v>501187233.60000002</c:v>
                </c:pt>
                <c:pt idx="88">
                  <c:v>630957344.5</c:v>
                </c:pt>
                <c:pt idx="89">
                  <c:v>794328234.70000005</c:v>
                </c:pt>
                <c:pt idx="90">
                  <c:v>1000000000</c:v>
                </c:pt>
                <c:pt idx="91">
                  <c:v>1258925412</c:v>
                </c:pt>
                <c:pt idx="92">
                  <c:v>1584893192</c:v>
                </c:pt>
                <c:pt idx="93">
                  <c:v>1995262315</c:v>
                </c:pt>
                <c:pt idx="94">
                  <c:v>2511886432</c:v>
                </c:pt>
                <c:pt idx="95">
                  <c:v>3162277660</c:v>
                </c:pt>
                <c:pt idx="96">
                  <c:v>3981071706</c:v>
                </c:pt>
                <c:pt idx="97">
                  <c:v>5011872336</c:v>
                </c:pt>
                <c:pt idx="98">
                  <c:v>6309573445</c:v>
                </c:pt>
                <c:pt idx="99">
                  <c:v>7943282347</c:v>
                </c:pt>
                <c:pt idx="100" formatCode="0.00E+00">
                  <c:v>10000000000</c:v>
                </c:pt>
              </c:numCache>
            </c:numRef>
          </c:xVal>
          <c:yVal>
            <c:numRef>
              <c:f>Лист7!$B$1:$B$101</c:f>
              <c:numCache>
                <c:formatCode>General</c:formatCode>
                <c:ptCount val="101"/>
                <c:pt idx="0">
                  <c:v>15.567</c:v>
                </c:pt>
                <c:pt idx="1">
                  <c:v>15.567</c:v>
                </c:pt>
                <c:pt idx="2">
                  <c:v>15.567</c:v>
                </c:pt>
                <c:pt idx="3">
                  <c:v>15.567</c:v>
                </c:pt>
                <c:pt idx="4">
                  <c:v>15.567</c:v>
                </c:pt>
                <c:pt idx="5">
                  <c:v>15.567</c:v>
                </c:pt>
                <c:pt idx="6">
                  <c:v>15.567</c:v>
                </c:pt>
                <c:pt idx="7">
                  <c:v>15.567</c:v>
                </c:pt>
                <c:pt idx="8">
                  <c:v>15.567</c:v>
                </c:pt>
                <c:pt idx="9">
                  <c:v>15.567</c:v>
                </c:pt>
                <c:pt idx="10">
                  <c:v>15.567</c:v>
                </c:pt>
                <c:pt idx="11">
                  <c:v>15.567</c:v>
                </c:pt>
                <c:pt idx="12">
                  <c:v>15.567</c:v>
                </c:pt>
                <c:pt idx="13">
                  <c:v>15.567</c:v>
                </c:pt>
                <c:pt idx="14">
                  <c:v>15.567</c:v>
                </c:pt>
                <c:pt idx="15">
                  <c:v>15.567</c:v>
                </c:pt>
                <c:pt idx="16">
                  <c:v>15.567</c:v>
                </c:pt>
                <c:pt idx="17">
                  <c:v>15.567</c:v>
                </c:pt>
                <c:pt idx="18">
                  <c:v>15.567</c:v>
                </c:pt>
                <c:pt idx="19">
                  <c:v>15.567</c:v>
                </c:pt>
                <c:pt idx="20">
                  <c:v>15.567</c:v>
                </c:pt>
                <c:pt idx="21">
                  <c:v>15.567</c:v>
                </c:pt>
                <c:pt idx="22">
                  <c:v>15.567</c:v>
                </c:pt>
                <c:pt idx="23">
                  <c:v>15.567</c:v>
                </c:pt>
                <c:pt idx="24">
                  <c:v>15.567</c:v>
                </c:pt>
                <c:pt idx="25">
                  <c:v>15.567</c:v>
                </c:pt>
                <c:pt idx="26">
                  <c:v>15.567</c:v>
                </c:pt>
                <c:pt idx="27">
                  <c:v>15.567</c:v>
                </c:pt>
                <c:pt idx="28">
                  <c:v>15.567</c:v>
                </c:pt>
                <c:pt idx="29">
                  <c:v>15.567</c:v>
                </c:pt>
                <c:pt idx="30">
                  <c:v>15.567</c:v>
                </c:pt>
                <c:pt idx="31">
                  <c:v>15.567</c:v>
                </c:pt>
                <c:pt idx="32">
                  <c:v>15.567</c:v>
                </c:pt>
                <c:pt idx="33">
                  <c:v>15.567</c:v>
                </c:pt>
                <c:pt idx="34">
                  <c:v>15.567</c:v>
                </c:pt>
                <c:pt idx="35">
                  <c:v>15.567</c:v>
                </c:pt>
                <c:pt idx="36">
                  <c:v>15.567</c:v>
                </c:pt>
                <c:pt idx="37">
                  <c:v>15.567</c:v>
                </c:pt>
                <c:pt idx="38">
                  <c:v>15.567</c:v>
                </c:pt>
                <c:pt idx="39">
                  <c:v>15.567</c:v>
                </c:pt>
                <c:pt idx="40">
                  <c:v>15.567</c:v>
                </c:pt>
                <c:pt idx="41">
                  <c:v>15.567</c:v>
                </c:pt>
                <c:pt idx="42">
                  <c:v>15.567</c:v>
                </c:pt>
                <c:pt idx="43">
                  <c:v>15.567</c:v>
                </c:pt>
                <c:pt idx="44">
                  <c:v>15.567</c:v>
                </c:pt>
                <c:pt idx="45">
                  <c:v>15.567</c:v>
                </c:pt>
                <c:pt idx="46">
                  <c:v>15.567</c:v>
                </c:pt>
                <c:pt idx="47">
                  <c:v>15.567</c:v>
                </c:pt>
                <c:pt idx="48">
                  <c:v>15.567</c:v>
                </c:pt>
                <c:pt idx="49">
                  <c:v>15.567</c:v>
                </c:pt>
                <c:pt idx="50">
                  <c:v>15.567</c:v>
                </c:pt>
                <c:pt idx="51">
                  <c:v>15.5669</c:v>
                </c:pt>
                <c:pt idx="52">
                  <c:v>15.5669</c:v>
                </c:pt>
                <c:pt idx="53">
                  <c:v>15.566800000000001</c:v>
                </c:pt>
                <c:pt idx="54">
                  <c:v>15.566800000000001</c:v>
                </c:pt>
                <c:pt idx="55">
                  <c:v>15.566599999999999</c:v>
                </c:pt>
                <c:pt idx="56">
                  <c:v>15.5664</c:v>
                </c:pt>
                <c:pt idx="57">
                  <c:v>15.5661</c:v>
                </c:pt>
                <c:pt idx="58">
                  <c:v>15.5655</c:v>
                </c:pt>
                <c:pt idx="59">
                  <c:v>15.5647</c:v>
                </c:pt>
                <c:pt idx="60">
                  <c:v>15.5633</c:v>
                </c:pt>
                <c:pt idx="61">
                  <c:v>15.561199999999999</c:v>
                </c:pt>
                <c:pt idx="62">
                  <c:v>15.557700000000001</c:v>
                </c:pt>
                <c:pt idx="63">
                  <c:v>15.5524</c:v>
                </c:pt>
                <c:pt idx="64">
                  <c:v>15.543799999999999</c:v>
                </c:pt>
                <c:pt idx="65">
                  <c:v>15.5303</c:v>
                </c:pt>
                <c:pt idx="66">
                  <c:v>15.509</c:v>
                </c:pt>
                <c:pt idx="67">
                  <c:v>15.4755</c:v>
                </c:pt>
                <c:pt idx="68">
                  <c:v>15.422800000000001</c:v>
                </c:pt>
                <c:pt idx="69">
                  <c:v>15.3406</c:v>
                </c:pt>
                <c:pt idx="70">
                  <c:v>15.2135</c:v>
                </c:pt>
                <c:pt idx="71">
                  <c:v>15.019399999999999</c:v>
                </c:pt>
                <c:pt idx="72">
                  <c:v>14.7286</c:v>
                </c:pt>
                <c:pt idx="73">
                  <c:v>14.3043</c:v>
                </c:pt>
                <c:pt idx="74">
                  <c:v>13.706899999999999</c:v>
                </c:pt>
                <c:pt idx="75">
                  <c:v>12.902200000000001</c:v>
                </c:pt>
                <c:pt idx="76">
                  <c:v>11.871700000000001</c:v>
                </c:pt>
                <c:pt idx="77">
                  <c:v>10.619300000000001</c:v>
                </c:pt>
                <c:pt idx="78">
                  <c:v>9.1699599999999997</c:v>
                </c:pt>
                <c:pt idx="79">
                  <c:v>7.56168</c:v>
                </c:pt>
                <c:pt idx="80">
                  <c:v>5.8350900000000001</c:v>
                </c:pt>
                <c:pt idx="81">
                  <c:v>4.0259200000000002</c:v>
                </c:pt>
                <c:pt idx="82">
                  <c:v>2.1608299999999998</c:v>
                </c:pt>
                <c:pt idx="83">
                  <c:v>0.25484899999999999</c:v>
                </c:pt>
                <c:pt idx="84">
                  <c:v>-1.69154</c:v>
                </c:pt>
                <c:pt idx="85">
                  <c:v>-3.6958500000000001</c:v>
                </c:pt>
                <c:pt idx="86">
                  <c:v>-5.7958299999999996</c:v>
                </c:pt>
                <c:pt idx="87">
                  <c:v>-8.0474899999999998</c:v>
                </c:pt>
                <c:pt idx="88">
                  <c:v>-10.5184</c:v>
                </c:pt>
                <c:pt idx="89">
                  <c:v>-13.277900000000001</c:v>
                </c:pt>
                <c:pt idx="90">
                  <c:v>-16.387499999999999</c:v>
                </c:pt>
                <c:pt idx="91">
                  <c:v>-19.892199999999999</c:v>
                </c:pt>
                <c:pt idx="92">
                  <c:v>-23.8171</c:v>
                </c:pt>
                <c:pt idx="93">
                  <c:v>-28.1647</c:v>
                </c:pt>
                <c:pt idx="94">
                  <c:v>-32.909700000000001</c:v>
                </c:pt>
                <c:pt idx="95">
                  <c:v>-37.980600000000003</c:v>
                </c:pt>
                <c:pt idx="96">
                  <c:v>-43.218299999999999</c:v>
                </c:pt>
                <c:pt idx="97">
                  <c:v>-48.296999999999997</c:v>
                </c:pt>
                <c:pt idx="98">
                  <c:v>-52.6374</c:v>
                </c:pt>
                <c:pt idx="99">
                  <c:v>-55.463500000000003</c:v>
                </c:pt>
                <c:pt idx="100">
                  <c:v>-56.283700000000003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71-41FA-8CDF-94384505A410}"/>
            </c:ext>
          </c:extLst>
        </c:ser>
        <c:ser>
          <c:idx val="5"/>
          <c:order val="4"/>
          <c:tx>
            <c:v>АЧХmax - 3,01, дБ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Лист7!$F$3:$F$4</c:f>
              <c:numCache>
                <c:formatCode>General</c:formatCode>
                <c:ptCount val="2"/>
                <c:pt idx="0">
                  <c:v>1</c:v>
                </c:pt>
                <c:pt idx="1">
                  <c:v>10000000000</c:v>
                </c:pt>
              </c:numCache>
            </c:numRef>
          </c:xVal>
          <c:yVal>
            <c:numRef>
              <c:f>Лист7!$G$3:$G$4</c:f>
              <c:numCache>
                <c:formatCode>General</c:formatCode>
                <c:ptCount val="2"/>
                <c:pt idx="0">
                  <c:v>12.557</c:v>
                </c:pt>
                <c:pt idx="1">
                  <c:v>12.557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71-41FA-8CDF-94384505A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483839"/>
        <c:axId val="5322668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АЧХ ОУ, дБ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Лист1!$A$1:$A$101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1.258925412</c:v>
                      </c:pt>
                      <c:pt idx="2">
                        <c:v>1.584893192</c:v>
                      </c:pt>
                      <c:pt idx="3">
                        <c:v>1.995262315</c:v>
                      </c:pt>
                      <c:pt idx="4">
                        <c:v>2.5118864319999998</c:v>
                      </c:pt>
                      <c:pt idx="5">
                        <c:v>3.16227766</c:v>
                      </c:pt>
                      <c:pt idx="6">
                        <c:v>3.9810717059999998</c:v>
                      </c:pt>
                      <c:pt idx="7">
                        <c:v>5.0118723359999997</c:v>
                      </c:pt>
                      <c:pt idx="8">
                        <c:v>6.3095734449999998</c:v>
                      </c:pt>
                      <c:pt idx="9">
                        <c:v>7.9432823470000002</c:v>
                      </c:pt>
                      <c:pt idx="10">
                        <c:v>10</c:v>
                      </c:pt>
                      <c:pt idx="11">
                        <c:v>12.58925412</c:v>
                      </c:pt>
                      <c:pt idx="12">
                        <c:v>15.84893192</c:v>
                      </c:pt>
                      <c:pt idx="13">
                        <c:v>19.952623150000001</c:v>
                      </c:pt>
                      <c:pt idx="14">
                        <c:v>25.11886432</c:v>
                      </c:pt>
                      <c:pt idx="15">
                        <c:v>31.622776600000002</c:v>
                      </c:pt>
                      <c:pt idx="16">
                        <c:v>39.810717060000002</c:v>
                      </c:pt>
                      <c:pt idx="17">
                        <c:v>50.118723359999997</c:v>
                      </c:pt>
                      <c:pt idx="18">
                        <c:v>63.095734450000002</c:v>
                      </c:pt>
                      <c:pt idx="19">
                        <c:v>79.432823470000002</c:v>
                      </c:pt>
                      <c:pt idx="20">
                        <c:v>100</c:v>
                      </c:pt>
                      <c:pt idx="21">
                        <c:v>125.8925412</c:v>
                      </c:pt>
                      <c:pt idx="22">
                        <c:v>158.48931920000001</c:v>
                      </c:pt>
                      <c:pt idx="23">
                        <c:v>199.52623149999999</c:v>
                      </c:pt>
                      <c:pt idx="24">
                        <c:v>251.1886432</c:v>
                      </c:pt>
                      <c:pt idx="25">
                        <c:v>316.22776599999997</c:v>
                      </c:pt>
                      <c:pt idx="26">
                        <c:v>398.10717060000002</c:v>
                      </c:pt>
                      <c:pt idx="27">
                        <c:v>501.18723360000001</c:v>
                      </c:pt>
                      <c:pt idx="28">
                        <c:v>630.95734449999998</c:v>
                      </c:pt>
                      <c:pt idx="29">
                        <c:v>794.32823470000005</c:v>
                      </c:pt>
                      <c:pt idx="30">
                        <c:v>1000</c:v>
                      </c:pt>
                      <c:pt idx="31">
                        <c:v>1258.9254120000001</c:v>
                      </c:pt>
                      <c:pt idx="32">
                        <c:v>1584.893192</c:v>
                      </c:pt>
                      <c:pt idx="33">
                        <c:v>1995.2623149999999</c:v>
                      </c:pt>
                      <c:pt idx="34">
                        <c:v>2511.8864319999998</c:v>
                      </c:pt>
                      <c:pt idx="35">
                        <c:v>3162.2776600000002</c:v>
                      </c:pt>
                      <c:pt idx="36">
                        <c:v>3981.0717060000002</c:v>
                      </c:pt>
                      <c:pt idx="37">
                        <c:v>5011.8723360000004</c:v>
                      </c:pt>
                      <c:pt idx="38">
                        <c:v>6309.573445</c:v>
                      </c:pt>
                      <c:pt idx="39">
                        <c:v>7943.2823470000003</c:v>
                      </c:pt>
                      <c:pt idx="40">
                        <c:v>10000</c:v>
                      </c:pt>
                      <c:pt idx="41">
                        <c:v>12589.25412</c:v>
                      </c:pt>
                      <c:pt idx="42">
                        <c:v>15848.931920000001</c:v>
                      </c:pt>
                      <c:pt idx="43">
                        <c:v>19952.623149999999</c:v>
                      </c:pt>
                      <c:pt idx="44">
                        <c:v>25118.864320000001</c:v>
                      </c:pt>
                      <c:pt idx="45">
                        <c:v>31622.776600000001</c:v>
                      </c:pt>
                      <c:pt idx="46">
                        <c:v>39810.717060000003</c:v>
                      </c:pt>
                      <c:pt idx="47">
                        <c:v>50118.723360000004</c:v>
                      </c:pt>
                      <c:pt idx="48">
                        <c:v>63095.734450000004</c:v>
                      </c:pt>
                      <c:pt idx="49">
                        <c:v>79432.823470000003</c:v>
                      </c:pt>
                      <c:pt idx="50">
                        <c:v>100000</c:v>
                      </c:pt>
                      <c:pt idx="51">
                        <c:v>125892.54120000001</c:v>
                      </c:pt>
                      <c:pt idx="52">
                        <c:v>158489.3192</c:v>
                      </c:pt>
                      <c:pt idx="53">
                        <c:v>199526.23149999999</c:v>
                      </c:pt>
                      <c:pt idx="54">
                        <c:v>251188.64319999999</c:v>
                      </c:pt>
                      <c:pt idx="55">
                        <c:v>316227.766</c:v>
                      </c:pt>
                      <c:pt idx="56">
                        <c:v>398107.17060000001</c:v>
                      </c:pt>
                      <c:pt idx="57">
                        <c:v>501187.23359999998</c:v>
                      </c:pt>
                      <c:pt idx="58">
                        <c:v>630957.34450000001</c:v>
                      </c:pt>
                      <c:pt idx="59">
                        <c:v>794328.23470000003</c:v>
                      </c:pt>
                      <c:pt idx="60">
                        <c:v>1000000</c:v>
                      </c:pt>
                      <c:pt idx="61">
                        <c:v>1258925.412</c:v>
                      </c:pt>
                      <c:pt idx="62">
                        <c:v>1584893.192</c:v>
                      </c:pt>
                      <c:pt idx="63">
                        <c:v>1995262.3149999999</c:v>
                      </c:pt>
                      <c:pt idx="64">
                        <c:v>2511886.432</c:v>
                      </c:pt>
                      <c:pt idx="65">
                        <c:v>3162277.66</c:v>
                      </c:pt>
                      <c:pt idx="66">
                        <c:v>3981071.7059999998</c:v>
                      </c:pt>
                      <c:pt idx="67">
                        <c:v>5011872.3360000001</c:v>
                      </c:pt>
                      <c:pt idx="68">
                        <c:v>6309573.4450000003</c:v>
                      </c:pt>
                      <c:pt idx="69">
                        <c:v>7943282.3470000001</c:v>
                      </c:pt>
                      <c:pt idx="70">
                        <c:v>10000000</c:v>
                      </c:pt>
                      <c:pt idx="71">
                        <c:v>12589254.119999999</c:v>
                      </c:pt>
                      <c:pt idx="72">
                        <c:v>15848931.92</c:v>
                      </c:pt>
                      <c:pt idx="73">
                        <c:v>19952623.149999999</c:v>
                      </c:pt>
                      <c:pt idx="74">
                        <c:v>25118864.32</c:v>
                      </c:pt>
                      <c:pt idx="75">
                        <c:v>31622776.600000001</c:v>
                      </c:pt>
                      <c:pt idx="76">
                        <c:v>39810717.060000002</c:v>
                      </c:pt>
                      <c:pt idx="77">
                        <c:v>50118723.359999999</c:v>
                      </c:pt>
                      <c:pt idx="78">
                        <c:v>63095734.450000003</c:v>
                      </c:pt>
                      <c:pt idx="79">
                        <c:v>79432823.469999999</c:v>
                      </c:pt>
                      <c:pt idx="80">
                        <c:v>100000000</c:v>
                      </c:pt>
                      <c:pt idx="81">
                        <c:v>125892541.2</c:v>
                      </c:pt>
                      <c:pt idx="82">
                        <c:v>158489319.19999999</c:v>
                      </c:pt>
                      <c:pt idx="83">
                        <c:v>199526231.5</c:v>
                      </c:pt>
                      <c:pt idx="84">
                        <c:v>251188643.19999999</c:v>
                      </c:pt>
                      <c:pt idx="85">
                        <c:v>316227766</c:v>
                      </c:pt>
                      <c:pt idx="86">
                        <c:v>398107170.60000002</c:v>
                      </c:pt>
                      <c:pt idx="87">
                        <c:v>501187233.60000002</c:v>
                      </c:pt>
                      <c:pt idx="88">
                        <c:v>630957344.5</c:v>
                      </c:pt>
                      <c:pt idx="89">
                        <c:v>794328234.70000005</c:v>
                      </c:pt>
                      <c:pt idx="90">
                        <c:v>1000000000</c:v>
                      </c:pt>
                      <c:pt idx="91">
                        <c:v>1258925412</c:v>
                      </c:pt>
                      <c:pt idx="92">
                        <c:v>1584893192</c:v>
                      </c:pt>
                      <c:pt idx="93">
                        <c:v>1995262315</c:v>
                      </c:pt>
                      <c:pt idx="94">
                        <c:v>2511886432</c:v>
                      </c:pt>
                      <c:pt idx="95">
                        <c:v>3162277660</c:v>
                      </c:pt>
                      <c:pt idx="96">
                        <c:v>3981071706</c:v>
                      </c:pt>
                      <c:pt idx="97">
                        <c:v>5011872336</c:v>
                      </c:pt>
                      <c:pt idx="98">
                        <c:v>6309573445</c:v>
                      </c:pt>
                      <c:pt idx="99">
                        <c:v>7943282347</c:v>
                      </c:pt>
                      <c:pt idx="100" formatCode="0.00E+00">
                        <c:v>10000000000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Лист1!$B$1:$B$101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82.397999999999996</c:v>
                      </c:pt>
                      <c:pt idx="1">
                        <c:v>82.397999999999996</c:v>
                      </c:pt>
                      <c:pt idx="2">
                        <c:v>82.397999999999996</c:v>
                      </c:pt>
                      <c:pt idx="3">
                        <c:v>82.397999999999996</c:v>
                      </c:pt>
                      <c:pt idx="4">
                        <c:v>82.397999999999996</c:v>
                      </c:pt>
                      <c:pt idx="5">
                        <c:v>82.397999999999996</c:v>
                      </c:pt>
                      <c:pt idx="6">
                        <c:v>82.397999999999996</c:v>
                      </c:pt>
                      <c:pt idx="7">
                        <c:v>82.397999999999996</c:v>
                      </c:pt>
                      <c:pt idx="8">
                        <c:v>82.397999999999996</c:v>
                      </c:pt>
                      <c:pt idx="9">
                        <c:v>82.397999999999996</c:v>
                      </c:pt>
                      <c:pt idx="10">
                        <c:v>82.397999999999996</c:v>
                      </c:pt>
                      <c:pt idx="11">
                        <c:v>82.397999999999996</c:v>
                      </c:pt>
                      <c:pt idx="12">
                        <c:v>82.397999999999996</c:v>
                      </c:pt>
                      <c:pt idx="13">
                        <c:v>82.397999999999996</c:v>
                      </c:pt>
                      <c:pt idx="14">
                        <c:v>82.397999999999996</c:v>
                      </c:pt>
                      <c:pt idx="15">
                        <c:v>82.397900000000007</c:v>
                      </c:pt>
                      <c:pt idx="16">
                        <c:v>82.397900000000007</c:v>
                      </c:pt>
                      <c:pt idx="17">
                        <c:v>82.397900000000007</c:v>
                      </c:pt>
                      <c:pt idx="18">
                        <c:v>82.397900000000007</c:v>
                      </c:pt>
                      <c:pt idx="19">
                        <c:v>82.397900000000007</c:v>
                      </c:pt>
                      <c:pt idx="20">
                        <c:v>82.397800000000004</c:v>
                      </c:pt>
                      <c:pt idx="21">
                        <c:v>82.397800000000004</c:v>
                      </c:pt>
                      <c:pt idx="22">
                        <c:v>82.397599999999997</c:v>
                      </c:pt>
                      <c:pt idx="23">
                        <c:v>82.397400000000005</c:v>
                      </c:pt>
                      <c:pt idx="24">
                        <c:v>82.397099999999995</c:v>
                      </c:pt>
                      <c:pt idx="25">
                        <c:v>82.396699999999996</c:v>
                      </c:pt>
                      <c:pt idx="26">
                        <c:v>82.395899999999997</c:v>
                      </c:pt>
                      <c:pt idx="27">
                        <c:v>82.3947</c:v>
                      </c:pt>
                      <c:pt idx="28">
                        <c:v>82.392799999999994</c:v>
                      </c:pt>
                      <c:pt idx="29">
                        <c:v>82.389799999999994</c:v>
                      </c:pt>
                      <c:pt idx="30">
                        <c:v>82.385000000000005</c:v>
                      </c:pt>
                      <c:pt idx="31">
                        <c:v>82.377399999999994</c:v>
                      </c:pt>
                      <c:pt idx="32">
                        <c:v>82.365499999999997</c:v>
                      </c:pt>
                      <c:pt idx="33">
                        <c:v>82.346599999999995</c:v>
                      </c:pt>
                      <c:pt idx="34">
                        <c:v>82.316800000000001</c:v>
                      </c:pt>
                      <c:pt idx="35">
                        <c:v>82.270099999999999</c:v>
                      </c:pt>
                      <c:pt idx="36">
                        <c:v>82.197000000000003</c:v>
                      </c:pt>
                      <c:pt idx="37">
                        <c:v>82.083600000000004</c:v>
                      </c:pt>
                      <c:pt idx="38">
                        <c:v>81.909800000000004</c:v>
                      </c:pt>
                      <c:pt idx="39">
                        <c:v>81.647800000000004</c:v>
                      </c:pt>
                      <c:pt idx="40">
                        <c:v>81.262500000000003</c:v>
                      </c:pt>
                      <c:pt idx="41">
                        <c:v>80.714200000000005</c:v>
                      </c:pt>
                      <c:pt idx="42">
                        <c:v>79.966099999999997</c:v>
                      </c:pt>
                      <c:pt idx="43">
                        <c:v>78.994299999999996</c:v>
                      </c:pt>
                      <c:pt idx="44">
                        <c:v>77.795900000000003</c:v>
                      </c:pt>
                      <c:pt idx="45">
                        <c:v>76.390199999999993</c:v>
                      </c:pt>
                      <c:pt idx="46">
                        <c:v>74.811899999999994</c:v>
                      </c:pt>
                      <c:pt idx="47">
                        <c:v>73.100700000000003</c:v>
                      </c:pt>
                      <c:pt idx="48">
                        <c:v>71.293300000000002</c:v>
                      </c:pt>
                      <c:pt idx="49">
                        <c:v>69.419399999999996</c:v>
                      </c:pt>
                      <c:pt idx="50">
                        <c:v>67.500900000000001</c:v>
                      </c:pt>
                      <c:pt idx="51">
                        <c:v>65.553100000000001</c:v>
                      </c:pt>
                      <c:pt idx="52">
                        <c:v>63.586399999999998</c:v>
                      </c:pt>
                      <c:pt idx="53">
                        <c:v>61.607500000000002</c:v>
                      </c:pt>
                      <c:pt idx="54">
                        <c:v>59.620899999999999</c:v>
                      </c:pt>
                      <c:pt idx="55">
                        <c:v>57.629399999999997</c:v>
                      </c:pt>
                      <c:pt idx="56">
                        <c:v>55.634700000000002</c:v>
                      </c:pt>
                      <c:pt idx="57">
                        <c:v>53.638100000000001</c:v>
                      </c:pt>
                      <c:pt idx="58">
                        <c:v>51.6402</c:v>
                      </c:pt>
                      <c:pt idx="59">
                        <c:v>49.641599999999997</c:v>
                      </c:pt>
                      <c:pt idx="60">
                        <c:v>47.642400000000002</c:v>
                      </c:pt>
                      <c:pt idx="61">
                        <c:v>45.642899999999997</c:v>
                      </c:pt>
                      <c:pt idx="62">
                        <c:v>43.643300000000004</c:v>
                      </c:pt>
                      <c:pt idx="63">
                        <c:v>41.643500000000003</c:v>
                      </c:pt>
                      <c:pt idx="64">
                        <c:v>39.643599999999999</c:v>
                      </c:pt>
                      <c:pt idx="65">
                        <c:v>37.643700000000003</c:v>
                      </c:pt>
                      <c:pt idx="66">
                        <c:v>35.643700000000003</c:v>
                      </c:pt>
                      <c:pt idx="67">
                        <c:v>33.643700000000003</c:v>
                      </c:pt>
                      <c:pt idx="68">
                        <c:v>31.643599999999999</c:v>
                      </c:pt>
                      <c:pt idx="69">
                        <c:v>29.6435</c:v>
                      </c:pt>
                      <c:pt idx="70">
                        <c:v>27.6433</c:v>
                      </c:pt>
                      <c:pt idx="71">
                        <c:v>25.642900000000001</c:v>
                      </c:pt>
                      <c:pt idx="72">
                        <c:v>23.642299999999999</c:v>
                      </c:pt>
                      <c:pt idx="73">
                        <c:v>21.641500000000001</c:v>
                      </c:pt>
                      <c:pt idx="74">
                        <c:v>19.6401</c:v>
                      </c:pt>
                      <c:pt idx="75">
                        <c:v>17.637799999999999</c:v>
                      </c:pt>
                      <c:pt idx="76">
                        <c:v>15.6343</c:v>
                      </c:pt>
                      <c:pt idx="77">
                        <c:v>13.6288</c:v>
                      </c:pt>
                      <c:pt idx="78">
                        <c:v>11.62</c:v>
                      </c:pt>
                      <c:pt idx="79">
                        <c:v>9.6060099999999995</c:v>
                      </c:pt>
                      <c:pt idx="80">
                        <c:v>7.58399</c:v>
                      </c:pt>
                      <c:pt idx="81">
                        <c:v>5.5492800000000004</c:v>
                      </c:pt>
                      <c:pt idx="82">
                        <c:v>3.49472</c:v>
                      </c:pt>
                      <c:pt idx="83">
                        <c:v>1.40934</c:v>
                      </c:pt>
                      <c:pt idx="84">
                        <c:v>-0.72330000000000005</c:v>
                      </c:pt>
                      <c:pt idx="85">
                        <c:v>-2.9272399999999998</c:v>
                      </c:pt>
                      <c:pt idx="86">
                        <c:v>-5.2360800000000003</c:v>
                      </c:pt>
                      <c:pt idx="87">
                        <c:v>-7.6940799999999996</c:v>
                      </c:pt>
                      <c:pt idx="88">
                        <c:v>-10.354900000000001</c:v>
                      </c:pt>
                      <c:pt idx="89">
                        <c:v>-13.277200000000001</c:v>
                      </c:pt>
                      <c:pt idx="90">
                        <c:v>-16.517199999999999</c:v>
                      </c:pt>
                      <c:pt idx="91">
                        <c:v>-20.121099999999998</c:v>
                      </c:pt>
                      <c:pt idx="92">
                        <c:v>-24.121400000000001</c:v>
                      </c:pt>
                      <c:pt idx="93">
                        <c:v>-28.535399999999999</c:v>
                      </c:pt>
                      <c:pt idx="94">
                        <c:v>-33.365900000000003</c:v>
                      </c:pt>
                      <c:pt idx="95">
                        <c:v>-38.603400000000001</c:v>
                      </c:pt>
                      <c:pt idx="96">
                        <c:v>-44.2301</c:v>
                      </c:pt>
                      <c:pt idx="97">
                        <c:v>-50.226700000000001</c:v>
                      </c:pt>
                      <c:pt idx="98">
                        <c:v>-56.575800000000001</c:v>
                      </c:pt>
                      <c:pt idx="99">
                        <c:v>-63.258499999999998</c:v>
                      </c:pt>
                      <c:pt idx="100">
                        <c:v>-70.247699999999995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171-41FA-8CDF-94384505A410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АЧХ ОУmax - 3,01, дБ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Лист1!$V$5:$V$6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10000000000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Лист1!$W$5:$W$6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79.387999999999991</c:v>
                      </c:pt>
                      <c:pt idx="1">
                        <c:v>79.387999999999991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171-41FA-8CDF-94384505A41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-20 дБ/дек</c:v>
                </c:tx>
                <c:spPr>
                  <a:ln w="19050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Лист1!$V$10:$V$14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100000</c:v>
                      </c:pt>
                      <c:pt idx="2">
                        <c:v>1000000</c:v>
                      </c:pt>
                      <c:pt idx="3">
                        <c:v>10000000</c:v>
                      </c:pt>
                      <c:pt idx="4">
                        <c:v>100000000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Лист1!$W$10:$W$14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87.500900000000001</c:v>
                      </c:pt>
                      <c:pt idx="1">
                        <c:v>67.500900000000001</c:v>
                      </c:pt>
                      <c:pt idx="2">
                        <c:v>47.642400000000002</c:v>
                      </c:pt>
                      <c:pt idx="3">
                        <c:v>27.6433</c:v>
                      </c:pt>
                      <c:pt idx="4">
                        <c:v>7.58399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B171-41FA-8CDF-94384505A410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v>-40 дБ/дек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Лист7!$U$33:$U$35</c15:sqref>
                        </c15:formulaRef>
                      </c:ext>
                    </c:extLst>
                    <c:numCache>
                      <c:formatCode>0.00E+00</c:formatCode>
                      <c:ptCount val="3"/>
                      <c:pt idx="0">
                        <c:v>10000000000</c:v>
                      </c:pt>
                      <c:pt idx="1">
                        <c:v>2400000000</c:v>
                      </c:pt>
                      <c:pt idx="2">
                        <c:v>1000000000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Лист7!$V$33:$V$35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-70.247699999999995</c:v>
                      </c:pt>
                      <c:pt idx="1">
                        <c:v>-30.247699999999995</c:v>
                      </c:pt>
                      <c:pt idx="2">
                        <c:v>-10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B171-41FA-8CDF-94384505A410}"/>
                  </c:ext>
                </c:extLst>
              </c15:ser>
            </c15:filteredScatterSeries>
          </c:ext>
        </c:extLst>
      </c:scatterChart>
      <c:valAx>
        <c:axId val="5374838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66895"/>
        <c:crosses val="autoZero"/>
        <c:crossBetween val="midCat"/>
      </c:valAx>
      <c:valAx>
        <c:axId val="53226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48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833499524349849"/>
          <c:y val="0.34879408628608921"/>
          <c:w val="0.2018930630304209"/>
          <c:h val="0.2394006364459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616892701358274E-2"/>
          <c:y val="2.4102979245557772E-2"/>
          <c:w val="0.92177072736139598"/>
          <c:h val="0.95179404150888447"/>
        </c:manualLayout>
      </c:layout>
      <c:scatterChart>
        <c:scatterStyle val="lineMarker"/>
        <c:varyColors val="0"/>
        <c:ser>
          <c:idx val="0"/>
          <c:order val="0"/>
          <c:tx>
            <c:v>АЧХ ОУ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Лист1!$A$1:$A$101</c:f>
              <c:numCache>
                <c:formatCode>General</c:formatCode>
                <c:ptCount val="10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  <c:pt idx="51">
                  <c:v>125892.54120000001</c:v>
                </c:pt>
                <c:pt idx="52">
                  <c:v>158489.3192</c:v>
                </c:pt>
                <c:pt idx="53">
                  <c:v>199526.23149999999</c:v>
                </c:pt>
                <c:pt idx="54">
                  <c:v>251188.64319999999</c:v>
                </c:pt>
                <c:pt idx="55">
                  <c:v>316227.766</c:v>
                </c:pt>
                <c:pt idx="56">
                  <c:v>398107.17060000001</c:v>
                </c:pt>
                <c:pt idx="57">
                  <c:v>501187.23359999998</c:v>
                </c:pt>
                <c:pt idx="58">
                  <c:v>630957.34450000001</c:v>
                </c:pt>
                <c:pt idx="59">
                  <c:v>794328.23470000003</c:v>
                </c:pt>
                <c:pt idx="60">
                  <c:v>1000000</c:v>
                </c:pt>
                <c:pt idx="61">
                  <c:v>1258925.412</c:v>
                </c:pt>
                <c:pt idx="62">
                  <c:v>1584893.192</c:v>
                </c:pt>
                <c:pt idx="63">
                  <c:v>1995262.3149999999</c:v>
                </c:pt>
                <c:pt idx="64">
                  <c:v>2511886.432</c:v>
                </c:pt>
                <c:pt idx="65">
                  <c:v>3162277.66</c:v>
                </c:pt>
                <c:pt idx="66">
                  <c:v>3981071.7059999998</c:v>
                </c:pt>
                <c:pt idx="67">
                  <c:v>5011872.3360000001</c:v>
                </c:pt>
                <c:pt idx="68">
                  <c:v>6309573.4450000003</c:v>
                </c:pt>
                <c:pt idx="69">
                  <c:v>7943282.3470000001</c:v>
                </c:pt>
                <c:pt idx="70">
                  <c:v>10000000</c:v>
                </c:pt>
                <c:pt idx="71">
                  <c:v>12589254.119999999</c:v>
                </c:pt>
                <c:pt idx="72">
                  <c:v>15848931.92</c:v>
                </c:pt>
                <c:pt idx="73">
                  <c:v>19952623.149999999</c:v>
                </c:pt>
                <c:pt idx="74">
                  <c:v>25118864.32</c:v>
                </c:pt>
                <c:pt idx="75">
                  <c:v>31622776.600000001</c:v>
                </c:pt>
                <c:pt idx="76">
                  <c:v>39810717.060000002</c:v>
                </c:pt>
                <c:pt idx="77">
                  <c:v>50118723.359999999</c:v>
                </c:pt>
                <c:pt idx="78">
                  <c:v>63095734.450000003</c:v>
                </c:pt>
                <c:pt idx="79">
                  <c:v>79432823.469999999</c:v>
                </c:pt>
                <c:pt idx="80">
                  <c:v>100000000</c:v>
                </c:pt>
                <c:pt idx="81">
                  <c:v>125892541.2</c:v>
                </c:pt>
                <c:pt idx="82">
                  <c:v>158489319.19999999</c:v>
                </c:pt>
                <c:pt idx="83">
                  <c:v>199526231.5</c:v>
                </c:pt>
                <c:pt idx="84">
                  <c:v>251188643.19999999</c:v>
                </c:pt>
                <c:pt idx="85">
                  <c:v>316227766</c:v>
                </c:pt>
                <c:pt idx="86">
                  <c:v>398107170.60000002</c:v>
                </c:pt>
                <c:pt idx="87">
                  <c:v>501187233.60000002</c:v>
                </c:pt>
                <c:pt idx="88">
                  <c:v>630957344.5</c:v>
                </c:pt>
                <c:pt idx="89">
                  <c:v>794328234.70000005</c:v>
                </c:pt>
                <c:pt idx="90">
                  <c:v>1000000000</c:v>
                </c:pt>
                <c:pt idx="91">
                  <c:v>1258925412</c:v>
                </c:pt>
                <c:pt idx="92">
                  <c:v>1584893192</c:v>
                </c:pt>
                <c:pt idx="93">
                  <c:v>1995262315</c:v>
                </c:pt>
                <c:pt idx="94">
                  <c:v>2511886432</c:v>
                </c:pt>
                <c:pt idx="95">
                  <c:v>3162277660</c:v>
                </c:pt>
                <c:pt idx="96">
                  <c:v>3981071706</c:v>
                </c:pt>
                <c:pt idx="97">
                  <c:v>5011872336</c:v>
                </c:pt>
                <c:pt idx="98">
                  <c:v>6309573445</c:v>
                </c:pt>
                <c:pt idx="99">
                  <c:v>7943282347</c:v>
                </c:pt>
                <c:pt idx="100" formatCode="0.00E+00">
                  <c:v>10000000000</c:v>
                </c:pt>
              </c:numCache>
            </c:numRef>
          </c:xVal>
          <c:yVal>
            <c:numRef>
              <c:f>Лист1!$B$1:$B$101</c:f>
              <c:numCache>
                <c:formatCode>General</c:formatCode>
                <c:ptCount val="101"/>
                <c:pt idx="0">
                  <c:v>82.397999999999996</c:v>
                </c:pt>
                <c:pt idx="1">
                  <c:v>82.397999999999996</c:v>
                </c:pt>
                <c:pt idx="2">
                  <c:v>82.397999999999996</c:v>
                </c:pt>
                <c:pt idx="3">
                  <c:v>82.397999999999996</c:v>
                </c:pt>
                <c:pt idx="4">
                  <c:v>82.397999999999996</c:v>
                </c:pt>
                <c:pt idx="5">
                  <c:v>82.397999999999996</c:v>
                </c:pt>
                <c:pt idx="6">
                  <c:v>82.397999999999996</c:v>
                </c:pt>
                <c:pt idx="7">
                  <c:v>82.397999999999996</c:v>
                </c:pt>
                <c:pt idx="8">
                  <c:v>82.397999999999996</c:v>
                </c:pt>
                <c:pt idx="9">
                  <c:v>82.397999999999996</c:v>
                </c:pt>
                <c:pt idx="10">
                  <c:v>82.397999999999996</c:v>
                </c:pt>
                <c:pt idx="11">
                  <c:v>82.397999999999996</c:v>
                </c:pt>
                <c:pt idx="12">
                  <c:v>82.397999999999996</c:v>
                </c:pt>
                <c:pt idx="13">
                  <c:v>82.397999999999996</c:v>
                </c:pt>
                <c:pt idx="14">
                  <c:v>82.397999999999996</c:v>
                </c:pt>
                <c:pt idx="15">
                  <c:v>82.397900000000007</c:v>
                </c:pt>
                <c:pt idx="16">
                  <c:v>82.397900000000007</c:v>
                </c:pt>
                <c:pt idx="17">
                  <c:v>82.397900000000007</c:v>
                </c:pt>
                <c:pt idx="18">
                  <c:v>82.397900000000007</c:v>
                </c:pt>
                <c:pt idx="19">
                  <c:v>82.397900000000007</c:v>
                </c:pt>
                <c:pt idx="20">
                  <c:v>82.397800000000004</c:v>
                </c:pt>
                <c:pt idx="21">
                  <c:v>82.397800000000004</c:v>
                </c:pt>
                <c:pt idx="22">
                  <c:v>82.397599999999997</c:v>
                </c:pt>
                <c:pt idx="23">
                  <c:v>82.397400000000005</c:v>
                </c:pt>
                <c:pt idx="24">
                  <c:v>82.397099999999995</c:v>
                </c:pt>
                <c:pt idx="25">
                  <c:v>82.396699999999996</c:v>
                </c:pt>
                <c:pt idx="26">
                  <c:v>82.395899999999997</c:v>
                </c:pt>
                <c:pt idx="27">
                  <c:v>82.3947</c:v>
                </c:pt>
                <c:pt idx="28">
                  <c:v>82.392799999999994</c:v>
                </c:pt>
                <c:pt idx="29">
                  <c:v>82.389799999999994</c:v>
                </c:pt>
                <c:pt idx="30">
                  <c:v>82.385000000000005</c:v>
                </c:pt>
                <c:pt idx="31">
                  <c:v>82.377399999999994</c:v>
                </c:pt>
                <c:pt idx="32">
                  <c:v>82.365499999999997</c:v>
                </c:pt>
                <c:pt idx="33">
                  <c:v>82.346599999999995</c:v>
                </c:pt>
                <c:pt idx="34">
                  <c:v>82.316800000000001</c:v>
                </c:pt>
                <c:pt idx="35">
                  <c:v>82.270099999999999</c:v>
                </c:pt>
                <c:pt idx="36">
                  <c:v>82.197000000000003</c:v>
                </c:pt>
                <c:pt idx="37">
                  <c:v>82.083600000000004</c:v>
                </c:pt>
                <c:pt idx="38">
                  <c:v>81.909800000000004</c:v>
                </c:pt>
                <c:pt idx="39">
                  <c:v>81.647800000000004</c:v>
                </c:pt>
                <c:pt idx="40">
                  <c:v>81.262500000000003</c:v>
                </c:pt>
                <c:pt idx="41">
                  <c:v>80.714200000000005</c:v>
                </c:pt>
                <c:pt idx="42">
                  <c:v>79.966099999999997</c:v>
                </c:pt>
                <c:pt idx="43">
                  <c:v>78.994299999999996</c:v>
                </c:pt>
                <c:pt idx="44">
                  <c:v>77.795900000000003</c:v>
                </c:pt>
                <c:pt idx="45">
                  <c:v>76.390199999999993</c:v>
                </c:pt>
                <c:pt idx="46">
                  <c:v>74.811899999999994</c:v>
                </c:pt>
                <c:pt idx="47">
                  <c:v>73.100700000000003</c:v>
                </c:pt>
                <c:pt idx="48">
                  <c:v>71.293300000000002</c:v>
                </c:pt>
                <c:pt idx="49">
                  <c:v>69.419399999999996</c:v>
                </c:pt>
                <c:pt idx="50">
                  <c:v>67.500900000000001</c:v>
                </c:pt>
                <c:pt idx="51">
                  <c:v>65.553100000000001</c:v>
                </c:pt>
                <c:pt idx="52">
                  <c:v>63.586399999999998</c:v>
                </c:pt>
                <c:pt idx="53">
                  <c:v>61.607500000000002</c:v>
                </c:pt>
                <c:pt idx="54">
                  <c:v>59.620899999999999</c:v>
                </c:pt>
                <c:pt idx="55">
                  <c:v>57.629399999999997</c:v>
                </c:pt>
                <c:pt idx="56">
                  <c:v>55.634700000000002</c:v>
                </c:pt>
                <c:pt idx="57">
                  <c:v>53.638100000000001</c:v>
                </c:pt>
                <c:pt idx="58">
                  <c:v>51.6402</c:v>
                </c:pt>
                <c:pt idx="59">
                  <c:v>49.641599999999997</c:v>
                </c:pt>
                <c:pt idx="60">
                  <c:v>47.642400000000002</c:v>
                </c:pt>
                <c:pt idx="61">
                  <c:v>45.642899999999997</c:v>
                </c:pt>
                <c:pt idx="62">
                  <c:v>43.643300000000004</c:v>
                </c:pt>
                <c:pt idx="63">
                  <c:v>41.643500000000003</c:v>
                </c:pt>
                <c:pt idx="64">
                  <c:v>39.643599999999999</c:v>
                </c:pt>
                <c:pt idx="65">
                  <c:v>37.643700000000003</c:v>
                </c:pt>
                <c:pt idx="66">
                  <c:v>35.643700000000003</c:v>
                </c:pt>
                <c:pt idx="67">
                  <c:v>33.643700000000003</c:v>
                </c:pt>
                <c:pt idx="68">
                  <c:v>31.643599999999999</c:v>
                </c:pt>
                <c:pt idx="69">
                  <c:v>29.6435</c:v>
                </c:pt>
                <c:pt idx="70">
                  <c:v>27.6433</c:v>
                </c:pt>
                <c:pt idx="71">
                  <c:v>25.642900000000001</c:v>
                </c:pt>
                <c:pt idx="72">
                  <c:v>23.642299999999999</c:v>
                </c:pt>
                <c:pt idx="73">
                  <c:v>21.641500000000001</c:v>
                </c:pt>
                <c:pt idx="74">
                  <c:v>19.6401</c:v>
                </c:pt>
                <c:pt idx="75">
                  <c:v>17.637799999999999</c:v>
                </c:pt>
                <c:pt idx="76">
                  <c:v>15.6343</c:v>
                </c:pt>
                <c:pt idx="77">
                  <c:v>13.6288</c:v>
                </c:pt>
                <c:pt idx="78">
                  <c:v>11.62</c:v>
                </c:pt>
                <c:pt idx="79">
                  <c:v>9.6060099999999995</c:v>
                </c:pt>
                <c:pt idx="80">
                  <c:v>7.58399</c:v>
                </c:pt>
                <c:pt idx="81">
                  <c:v>5.5492800000000004</c:v>
                </c:pt>
                <c:pt idx="82">
                  <c:v>3.49472</c:v>
                </c:pt>
                <c:pt idx="83">
                  <c:v>1.40934</c:v>
                </c:pt>
                <c:pt idx="84">
                  <c:v>-0.72330000000000005</c:v>
                </c:pt>
                <c:pt idx="85">
                  <c:v>-2.9272399999999998</c:v>
                </c:pt>
                <c:pt idx="86">
                  <c:v>-5.2360800000000003</c:v>
                </c:pt>
                <c:pt idx="87">
                  <c:v>-7.6940799999999996</c:v>
                </c:pt>
                <c:pt idx="88">
                  <c:v>-10.354900000000001</c:v>
                </c:pt>
                <c:pt idx="89">
                  <c:v>-13.277200000000001</c:v>
                </c:pt>
                <c:pt idx="90">
                  <c:v>-16.517199999999999</c:v>
                </c:pt>
                <c:pt idx="91">
                  <c:v>-20.121099999999998</c:v>
                </c:pt>
                <c:pt idx="92">
                  <c:v>-24.121400000000001</c:v>
                </c:pt>
                <c:pt idx="93">
                  <c:v>-28.535399999999999</c:v>
                </c:pt>
                <c:pt idx="94">
                  <c:v>-33.365900000000003</c:v>
                </c:pt>
                <c:pt idx="95">
                  <c:v>-38.603400000000001</c:v>
                </c:pt>
                <c:pt idx="96">
                  <c:v>-44.2301</c:v>
                </c:pt>
                <c:pt idx="97">
                  <c:v>-50.226700000000001</c:v>
                </c:pt>
                <c:pt idx="98">
                  <c:v>-56.575800000000001</c:v>
                </c:pt>
                <c:pt idx="99">
                  <c:v>-63.258499999999998</c:v>
                </c:pt>
                <c:pt idx="100">
                  <c:v>-70.247699999999995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9-4CF7-9060-CBE9F507671A}"/>
            </c:ext>
          </c:extLst>
        </c:ser>
        <c:ser>
          <c:idx val="1"/>
          <c:order val="1"/>
          <c:tx>
            <c:v>АЧХ ОYmax - 3, 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Лист1!$V$5:$V$6</c:f>
              <c:numCache>
                <c:formatCode>General</c:formatCode>
                <c:ptCount val="2"/>
                <c:pt idx="0">
                  <c:v>1</c:v>
                </c:pt>
                <c:pt idx="1">
                  <c:v>10000000000</c:v>
                </c:pt>
              </c:numCache>
            </c:numRef>
          </c:xVal>
          <c:yVal>
            <c:numRef>
              <c:f>Лист1!$W$5:$W$6</c:f>
              <c:numCache>
                <c:formatCode>General</c:formatCode>
                <c:ptCount val="2"/>
                <c:pt idx="0">
                  <c:v>79.387999999999991</c:v>
                </c:pt>
                <c:pt idx="1">
                  <c:v>79.387999999999991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C9-4CF7-9060-CBE9F507671A}"/>
            </c:ext>
          </c:extLst>
        </c:ser>
        <c:ser>
          <c:idx val="2"/>
          <c:order val="2"/>
          <c:tx>
            <c:v>20 дБ/дек</c:v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Лист1!$V$11:$V$14</c:f>
              <c:numCache>
                <c:formatCode>General</c:formatCode>
                <c:ptCount val="4"/>
                <c:pt idx="0">
                  <c:v>100000</c:v>
                </c:pt>
                <c:pt idx="1">
                  <c:v>1000000</c:v>
                </c:pt>
                <c:pt idx="2">
                  <c:v>10000000</c:v>
                </c:pt>
                <c:pt idx="3">
                  <c:v>100000000</c:v>
                </c:pt>
              </c:numCache>
            </c:numRef>
          </c:xVal>
          <c:yVal>
            <c:numRef>
              <c:f>Лист1!$W$11:$W$14</c:f>
              <c:numCache>
                <c:formatCode>General</c:formatCode>
                <c:ptCount val="4"/>
                <c:pt idx="0">
                  <c:v>67.500900000000001</c:v>
                </c:pt>
                <c:pt idx="1">
                  <c:v>47.642400000000002</c:v>
                </c:pt>
                <c:pt idx="2">
                  <c:v>27.6433</c:v>
                </c:pt>
                <c:pt idx="3">
                  <c:v>7.58399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C9-4CF7-9060-CBE9F507671A}"/>
            </c:ext>
          </c:extLst>
        </c:ser>
        <c:ser>
          <c:idx val="3"/>
          <c:order val="3"/>
          <c:tx>
            <c:v>40 дБ/дек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Лист7!$V$25:$V$26</c:f>
              <c:numCache>
                <c:formatCode>General</c:formatCode>
                <c:ptCount val="2"/>
                <c:pt idx="0" formatCode="0.00E+00">
                  <c:v>10000000000</c:v>
                </c:pt>
                <c:pt idx="1">
                  <c:v>2400000000</c:v>
                </c:pt>
              </c:numCache>
            </c:numRef>
          </c:xVal>
          <c:yVal>
            <c:numRef>
              <c:f>Лист7!$W$25:$W$26</c:f>
              <c:numCache>
                <c:formatCode>General</c:formatCode>
                <c:ptCount val="2"/>
                <c:pt idx="0">
                  <c:v>-70.247699999999995</c:v>
                </c:pt>
                <c:pt idx="1">
                  <c:v>-30.247699999999995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C9-4CF7-9060-CBE9F507671A}"/>
            </c:ext>
          </c:extLst>
        </c:ser>
        <c:ser>
          <c:idx val="4"/>
          <c:order val="4"/>
          <c:tx>
            <c:v>АЧХ</c:v>
          </c:tx>
          <c:spPr>
            <a:ln w="19050" cap="rnd">
              <a:solidFill>
                <a:srgbClr val="D434C1"/>
              </a:solidFill>
              <a:round/>
            </a:ln>
            <a:effectLst/>
          </c:spPr>
          <c:marker>
            <c:symbol val="none"/>
          </c:marker>
          <c:xVal>
            <c:numRef>
              <c:f>Лист7!$A$1:$A$101</c:f>
              <c:numCache>
                <c:formatCode>General</c:formatCode>
                <c:ptCount val="10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  <c:pt idx="51">
                  <c:v>125892.54120000001</c:v>
                </c:pt>
                <c:pt idx="52">
                  <c:v>158489.3192</c:v>
                </c:pt>
                <c:pt idx="53">
                  <c:v>199526.23149999999</c:v>
                </c:pt>
                <c:pt idx="54">
                  <c:v>251188.64319999999</c:v>
                </c:pt>
                <c:pt idx="55">
                  <c:v>316227.766</c:v>
                </c:pt>
                <c:pt idx="56">
                  <c:v>398107.17060000001</c:v>
                </c:pt>
                <c:pt idx="57">
                  <c:v>501187.23359999998</c:v>
                </c:pt>
                <c:pt idx="58">
                  <c:v>630957.34450000001</c:v>
                </c:pt>
                <c:pt idx="59">
                  <c:v>794328.23470000003</c:v>
                </c:pt>
                <c:pt idx="60">
                  <c:v>1000000</c:v>
                </c:pt>
                <c:pt idx="61">
                  <c:v>1258925.412</c:v>
                </c:pt>
                <c:pt idx="62">
                  <c:v>1584893.192</c:v>
                </c:pt>
                <c:pt idx="63">
                  <c:v>1995262.3149999999</c:v>
                </c:pt>
                <c:pt idx="64">
                  <c:v>2511886.432</c:v>
                </c:pt>
                <c:pt idx="65">
                  <c:v>3162277.66</c:v>
                </c:pt>
                <c:pt idx="66">
                  <c:v>3981071.7059999998</c:v>
                </c:pt>
                <c:pt idx="67">
                  <c:v>5011872.3360000001</c:v>
                </c:pt>
                <c:pt idx="68">
                  <c:v>6309573.4450000003</c:v>
                </c:pt>
                <c:pt idx="69">
                  <c:v>7943282.3470000001</c:v>
                </c:pt>
                <c:pt idx="70">
                  <c:v>10000000</c:v>
                </c:pt>
                <c:pt idx="71">
                  <c:v>12589254.119999999</c:v>
                </c:pt>
                <c:pt idx="72">
                  <c:v>15848931.92</c:v>
                </c:pt>
                <c:pt idx="73">
                  <c:v>19952623.149999999</c:v>
                </c:pt>
                <c:pt idx="74">
                  <c:v>25118864.32</c:v>
                </c:pt>
                <c:pt idx="75">
                  <c:v>31622776.600000001</c:v>
                </c:pt>
                <c:pt idx="76">
                  <c:v>39810717.060000002</c:v>
                </c:pt>
                <c:pt idx="77">
                  <c:v>50118723.359999999</c:v>
                </c:pt>
                <c:pt idx="78">
                  <c:v>63095734.450000003</c:v>
                </c:pt>
                <c:pt idx="79">
                  <c:v>79432823.469999999</c:v>
                </c:pt>
                <c:pt idx="80">
                  <c:v>100000000</c:v>
                </c:pt>
                <c:pt idx="81">
                  <c:v>125892541.2</c:v>
                </c:pt>
                <c:pt idx="82">
                  <c:v>158489319.19999999</c:v>
                </c:pt>
                <c:pt idx="83">
                  <c:v>199526231.5</c:v>
                </c:pt>
                <c:pt idx="84">
                  <c:v>251188643.19999999</c:v>
                </c:pt>
                <c:pt idx="85">
                  <c:v>316227766</c:v>
                </c:pt>
                <c:pt idx="86">
                  <c:v>398107170.60000002</c:v>
                </c:pt>
                <c:pt idx="87">
                  <c:v>501187233.60000002</c:v>
                </c:pt>
                <c:pt idx="88">
                  <c:v>630957344.5</c:v>
                </c:pt>
                <c:pt idx="89">
                  <c:v>794328234.70000005</c:v>
                </c:pt>
                <c:pt idx="90">
                  <c:v>1000000000</c:v>
                </c:pt>
                <c:pt idx="91">
                  <c:v>1258925412</c:v>
                </c:pt>
                <c:pt idx="92">
                  <c:v>1584893192</c:v>
                </c:pt>
                <c:pt idx="93">
                  <c:v>1995262315</c:v>
                </c:pt>
                <c:pt idx="94">
                  <c:v>2511886432</c:v>
                </c:pt>
                <c:pt idx="95">
                  <c:v>3162277660</c:v>
                </c:pt>
                <c:pt idx="96">
                  <c:v>3981071706</c:v>
                </c:pt>
                <c:pt idx="97">
                  <c:v>5011872336</c:v>
                </c:pt>
                <c:pt idx="98">
                  <c:v>6309573445</c:v>
                </c:pt>
                <c:pt idx="99">
                  <c:v>7943282347</c:v>
                </c:pt>
                <c:pt idx="100" formatCode="0.00E+00">
                  <c:v>10000000000</c:v>
                </c:pt>
              </c:numCache>
            </c:numRef>
          </c:xVal>
          <c:yVal>
            <c:numRef>
              <c:f>Лист7!$B$1:$B$101</c:f>
              <c:numCache>
                <c:formatCode>General</c:formatCode>
                <c:ptCount val="101"/>
                <c:pt idx="0">
                  <c:v>15.567</c:v>
                </c:pt>
                <c:pt idx="1">
                  <c:v>15.567</c:v>
                </c:pt>
                <c:pt idx="2">
                  <c:v>15.567</c:v>
                </c:pt>
                <c:pt idx="3">
                  <c:v>15.567</c:v>
                </c:pt>
                <c:pt idx="4">
                  <c:v>15.567</c:v>
                </c:pt>
                <c:pt idx="5">
                  <c:v>15.567</c:v>
                </c:pt>
                <c:pt idx="6">
                  <c:v>15.567</c:v>
                </c:pt>
                <c:pt idx="7">
                  <c:v>15.567</c:v>
                </c:pt>
                <c:pt idx="8">
                  <c:v>15.567</c:v>
                </c:pt>
                <c:pt idx="9">
                  <c:v>15.567</c:v>
                </c:pt>
                <c:pt idx="10">
                  <c:v>15.567</c:v>
                </c:pt>
                <c:pt idx="11">
                  <c:v>15.567</c:v>
                </c:pt>
                <c:pt idx="12">
                  <c:v>15.567</c:v>
                </c:pt>
                <c:pt idx="13">
                  <c:v>15.567</c:v>
                </c:pt>
                <c:pt idx="14">
                  <c:v>15.567</c:v>
                </c:pt>
                <c:pt idx="15">
                  <c:v>15.567</c:v>
                </c:pt>
                <c:pt idx="16">
                  <c:v>15.567</c:v>
                </c:pt>
                <c:pt idx="17">
                  <c:v>15.567</c:v>
                </c:pt>
                <c:pt idx="18">
                  <c:v>15.567</c:v>
                </c:pt>
                <c:pt idx="19">
                  <c:v>15.567</c:v>
                </c:pt>
                <c:pt idx="20">
                  <c:v>15.567</c:v>
                </c:pt>
                <c:pt idx="21">
                  <c:v>15.567</c:v>
                </c:pt>
                <c:pt idx="22">
                  <c:v>15.567</c:v>
                </c:pt>
                <c:pt idx="23">
                  <c:v>15.567</c:v>
                </c:pt>
                <c:pt idx="24">
                  <c:v>15.567</c:v>
                </c:pt>
                <c:pt idx="25">
                  <c:v>15.567</c:v>
                </c:pt>
                <c:pt idx="26">
                  <c:v>15.567</c:v>
                </c:pt>
                <c:pt idx="27">
                  <c:v>15.567</c:v>
                </c:pt>
                <c:pt idx="28">
                  <c:v>15.567</c:v>
                </c:pt>
                <c:pt idx="29">
                  <c:v>15.567</c:v>
                </c:pt>
                <c:pt idx="30">
                  <c:v>15.567</c:v>
                </c:pt>
                <c:pt idx="31">
                  <c:v>15.567</c:v>
                </c:pt>
                <c:pt idx="32">
                  <c:v>15.567</c:v>
                </c:pt>
                <c:pt idx="33">
                  <c:v>15.567</c:v>
                </c:pt>
                <c:pt idx="34">
                  <c:v>15.567</c:v>
                </c:pt>
                <c:pt idx="35">
                  <c:v>15.567</c:v>
                </c:pt>
                <c:pt idx="36">
                  <c:v>15.567</c:v>
                </c:pt>
                <c:pt idx="37">
                  <c:v>15.567</c:v>
                </c:pt>
                <c:pt idx="38">
                  <c:v>15.567</c:v>
                </c:pt>
                <c:pt idx="39">
                  <c:v>15.567</c:v>
                </c:pt>
                <c:pt idx="40">
                  <c:v>15.567</c:v>
                </c:pt>
                <c:pt idx="41">
                  <c:v>15.567</c:v>
                </c:pt>
                <c:pt idx="42">
                  <c:v>15.567</c:v>
                </c:pt>
                <c:pt idx="43">
                  <c:v>15.567</c:v>
                </c:pt>
                <c:pt idx="44">
                  <c:v>15.567</c:v>
                </c:pt>
                <c:pt idx="45">
                  <c:v>15.567</c:v>
                </c:pt>
                <c:pt idx="46">
                  <c:v>15.567</c:v>
                </c:pt>
                <c:pt idx="47">
                  <c:v>15.567</c:v>
                </c:pt>
                <c:pt idx="48">
                  <c:v>15.567</c:v>
                </c:pt>
                <c:pt idx="49">
                  <c:v>15.567</c:v>
                </c:pt>
                <c:pt idx="50">
                  <c:v>15.567</c:v>
                </c:pt>
                <c:pt idx="51">
                  <c:v>15.5669</c:v>
                </c:pt>
                <c:pt idx="52">
                  <c:v>15.5669</c:v>
                </c:pt>
                <c:pt idx="53">
                  <c:v>15.566800000000001</c:v>
                </c:pt>
                <c:pt idx="54">
                  <c:v>15.566800000000001</c:v>
                </c:pt>
                <c:pt idx="55">
                  <c:v>15.566599999999999</c:v>
                </c:pt>
                <c:pt idx="56">
                  <c:v>15.5664</c:v>
                </c:pt>
                <c:pt idx="57">
                  <c:v>15.5661</c:v>
                </c:pt>
                <c:pt idx="58">
                  <c:v>15.5655</c:v>
                </c:pt>
                <c:pt idx="59">
                  <c:v>15.5647</c:v>
                </c:pt>
                <c:pt idx="60">
                  <c:v>15.5633</c:v>
                </c:pt>
                <c:pt idx="61">
                  <c:v>15.561199999999999</c:v>
                </c:pt>
                <c:pt idx="62">
                  <c:v>15.557700000000001</c:v>
                </c:pt>
                <c:pt idx="63">
                  <c:v>15.5524</c:v>
                </c:pt>
                <c:pt idx="64">
                  <c:v>15.543799999999999</c:v>
                </c:pt>
                <c:pt idx="65">
                  <c:v>15.5303</c:v>
                </c:pt>
                <c:pt idx="66">
                  <c:v>15.509</c:v>
                </c:pt>
                <c:pt idx="67">
                  <c:v>15.4755</c:v>
                </c:pt>
                <c:pt idx="68">
                  <c:v>15.422800000000001</c:v>
                </c:pt>
                <c:pt idx="69">
                  <c:v>15.3406</c:v>
                </c:pt>
                <c:pt idx="70">
                  <c:v>15.2135</c:v>
                </c:pt>
                <c:pt idx="71">
                  <c:v>15.019399999999999</c:v>
                </c:pt>
                <c:pt idx="72">
                  <c:v>14.7286</c:v>
                </c:pt>
                <c:pt idx="73">
                  <c:v>14.3043</c:v>
                </c:pt>
                <c:pt idx="74">
                  <c:v>13.706899999999999</c:v>
                </c:pt>
                <c:pt idx="75">
                  <c:v>12.902200000000001</c:v>
                </c:pt>
                <c:pt idx="76">
                  <c:v>11.871700000000001</c:v>
                </c:pt>
                <c:pt idx="77">
                  <c:v>10.619300000000001</c:v>
                </c:pt>
                <c:pt idx="78">
                  <c:v>9.1699599999999997</c:v>
                </c:pt>
                <c:pt idx="79">
                  <c:v>7.56168</c:v>
                </c:pt>
                <c:pt idx="80">
                  <c:v>5.8350900000000001</c:v>
                </c:pt>
                <c:pt idx="81">
                  <c:v>4.0259200000000002</c:v>
                </c:pt>
                <c:pt idx="82">
                  <c:v>2.1608299999999998</c:v>
                </c:pt>
                <c:pt idx="83">
                  <c:v>0.25484899999999999</c:v>
                </c:pt>
                <c:pt idx="84">
                  <c:v>-1.69154</c:v>
                </c:pt>
                <c:pt idx="85">
                  <c:v>-3.6958500000000001</c:v>
                </c:pt>
                <c:pt idx="86">
                  <c:v>-5.7958299999999996</c:v>
                </c:pt>
                <c:pt idx="87">
                  <c:v>-8.0474899999999998</c:v>
                </c:pt>
                <c:pt idx="88">
                  <c:v>-10.5184</c:v>
                </c:pt>
                <c:pt idx="89">
                  <c:v>-13.277900000000001</c:v>
                </c:pt>
                <c:pt idx="90">
                  <c:v>-16.387499999999999</c:v>
                </c:pt>
                <c:pt idx="91">
                  <c:v>-19.892199999999999</c:v>
                </c:pt>
                <c:pt idx="92">
                  <c:v>-23.8171</c:v>
                </c:pt>
                <c:pt idx="93">
                  <c:v>-28.1647</c:v>
                </c:pt>
                <c:pt idx="94">
                  <c:v>-32.909700000000001</c:v>
                </c:pt>
                <c:pt idx="95">
                  <c:v>-37.980600000000003</c:v>
                </c:pt>
                <c:pt idx="96">
                  <c:v>-43.218299999999999</c:v>
                </c:pt>
                <c:pt idx="97">
                  <c:v>-48.296999999999997</c:v>
                </c:pt>
                <c:pt idx="98">
                  <c:v>-52.6374</c:v>
                </c:pt>
                <c:pt idx="99">
                  <c:v>-55.463500000000003</c:v>
                </c:pt>
                <c:pt idx="100">
                  <c:v>-56.283700000000003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C9-4CF7-9060-CBE9F507671A}"/>
            </c:ext>
          </c:extLst>
        </c:ser>
        <c:ser>
          <c:idx val="5"/>
          <c:order val="5"/>
          <c:tx>
            <c:v>АЧХmax - 3,01, дБ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Лист7!$F$3:$F$4</c:f>
              <c:numCache>
                <c:formatCode>General</c:formatCode>
                <c:ptCount val="2"/>
                <c:pt idx="0">
                  <c:v>1</c:v>
                </c:pt>
                <c:pt idx="1">
                  <c:v>10000000000</c:v>
                </c:pt>
              </c:numCache>
            </c:numRef>
          </c:xVal>
          <c:yVal>
            <c:numRef>
              <c:f>Лист7!$G$3:$G$4</c:f>
              <c:numCache>
                <c:formatCode>General</c:formatCode>
                <c:ptCount val="2"/>
                <c:pt idx="0">
                  <c:v>12.557</c:v>
                </c:pt>
                <c:pt idx="1">
                  <c:v>12.557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C9-4CF7-9060-CBE9F5076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483839"/>
        <c:axId val="532266895"/>
      </c:scatterChart>
      <c:valAx>
        <c:axId val="537483839"/>
        <c:scaling>
          <c:orientation val="minMax"/>
          <c:max val="50000000"/>
          <c:min val="2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66895"/>
        <c:crosses val="autoZero"/>
        <c:crossBetween val="midCat"/>
      </c:valAx>
      <c:valAx>
        <c:axId val="532266895"/>
        <c:scaling>
          <c:orientation val="minMax"/>
          <c:max val="16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48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083524968595043"/>
          <c:y val="0.17114626128859525"/>
          <c:w val="0.15913646443138085"/>
          <c:h val="0.216387642780768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616892701358274E-2"/>
          <c:y val="2.4102979245557772E-2"/>
          <c:w val="0.92177072736139598"/>
          <c:h val="0.95179404150888447"/>
        </c:manualLayout>
      </c:layout>
      <c:scatterChart>
        <c:scatterStyle val="lineMarker"/>
        <c:varyColors val="0"/>
        <c:ser>
          <c:idx val="0"/>
          <c:order val="0"/>
          <c:tx>
            <c:v>АЧХ ОУ,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Лист1!$A$1:$A$101</c:f>
              <c:numCache>
                <c:formatCode>General</c:formatCode>
                <c:ptCount val="10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  <c:pt idx="51">
                  <c:v>125892.54120000001</c:v>
                </c:pt>
                <c:pt idx="52">
                  <c:v>158489.3192</c:v>
                </c:pt>
                <c:pt idx="53">
                  <c:v>199526.23149999999</c:v>
                </c:pt>
                <c:pt idx="54">
                  <c:v>251188.64319999999</c:v>
                </c:pt>
                <c:pt idx="55">
                  <c:v>316227.766</c:v>
                </c:pt>
                <c:pt idx="56">
                  <c:v>398107.17060000001</c:v>
                </c:pt>
                <c:pt idx="57">
                  <c:v>501187.23359999998</c:v>
                </c:pt>
                <c:pt idx="58">
                  <c:v>630957.34450000001</c:v>
                </c:pt>
                <c:pt idx="59">
                  <c:v>794328.23470000003</c:v>
                </c:pt>
                <c:pt idx="60">
                  <c:v>1000000</c:v>
                </c:pt>
                <c:pt idx="61">
                  <c:v>1258925.412</c:v>
                </c:pt>
                <c:pt idx="62">
                  <c:v>1584893.192</c:v>
                </c:pt>
                <c:pt idx="63">
                  <c:v>1995262.3149999999</c:v>
                </c:pt>
                <c:pt idx="64">
                  <c:v>2511886.432</c:v>
                </c:pt>
                <c:pt idx="65">
                  <c:v>3162277.66</c:v>
                </c:pt>
                <c:pt idx="66">
                  <c:v>3981071.7059999998</c:v>
                </c:pt>
                <c:pt idx="67">
                  <c:v>5011872.3360000001</c:v>
                </c:pt>
                <c:pt idx="68">
                  <c:v>6309573.4450000003</c:v>
                </c:pt>
                <c:pt idx="69">
                  <c:v>7943282.3470000001</c:v>
                </c:pt>
                <c:pt idx="70">
                  <c:v>10000000</c:v>
                </c:pt>
                <c:pt idx="71">
                  <c:v>12589254.119999999</c:v>
                </c:pt>
                <c:pt idx="72">
                  <c:v>15848931.92</c:v>
                </c:pt>
                <c:pt idx="73">
                  <c:v>19952623.149999999</c:v>
                </c:pt>
                <c:pt idx="74">
                  <c:v>25118864.32</c:v>
                </c:pt>
                <c:pt idx="75">
                  <c:v>31622776.600000001</c:v>
                </c:pt>
                <c:pt idx="76">
                  <c:v>39810717.060000002</c:v>
                </c:pt>
                <c:pt idx="77">
                  <c:v>50118723.359999999</c:v>
                </c:pt>
                <c:pt idx="78">
                  <c:v>63095734.450000003</c:v>
                </c:pt>
                <c:pt idx="79">
                  <c:v>79432823.469999999</c:v>
                </c:pt>
                <c:pt idx="80">
                  <c:v>100000000</c:v>
                </c:pt>
                <c:pt idx="81">
                  <c:v>125892541.2</c:v>
                </c:pt>
                <c:pt idx="82">
                  <c:v>158489319.19999999</c:v>
                </c:pt>
                <c:pt idx="83">
                  <c:v>199526231.5</c:v>
                </c:pt>
                <c:pt idx="84">
                  <c:v>251188643.19999999</c:v>
                </c:pt>
                <c:pt idx="85">
                  <c:v>316227766</c:v>
                </c:pt>
                <c:pt idx="86">
                  <c:v>398107170.60000002</c:v>
                </c:pt>
                <c:pt idx="87">
                  <c:v>501187233.60000002</c:v>
                </c:pt>
                <c:pt idx="88">
                  <c:v>630957344.5</c:v>
                </c:pt>
                <c:pt idx="89">
                  <c:v>794328234.70000005</c:v>
                </c:pt>
                <c:pt idx="90">
                  <c:v>1000000000</c:v>
                </c:pt>
                <c:pt idx="91">
                  <c:v>1258925412</c:v>
                </c:pt>
                <c:pt idx="92">
                  <c:v>1584893192</c:v>
                </c:pt>
                <c:pt idx="93">
                  <c:v>1995262315</c:v>
                </c:pt>
                <c:pt idx="94">
                  <c:v>2511886432</c:v>
                </c:pt>
                <c:pt idx="95">
                  <c:v>3162277660</c:v>
                </c:pt>
                <c:pt idx="96">
                  <c:v>3981071706</c:v>
                </c:pt>
                <c:pt idx="97">
                  <c:v>5011872336</c:v>
                </c:pt>
                <c:pt idx="98">
                  <c:v>6309573445</c:v>
                </c:pt>
                <c:pt idx="99">
                  <c:v>7943282347</c:v>
                </c:pt>
                <c:pt idx="100" formatCode="0.00E+00">
                  <c:v>10000000000</c:v>
                </c:pt>
              </c:numCache>
            </c:numRef>
          </c:xVal>
          <c:yVal>
            <c:numRef>
              <c:f>Лист1!$B$1:$B$101</c:f>
              <c:numCache>
                <c:formatCode>General</c:formatCode>
                <c:ptCount val="101"/>
                <c:pt idx="0">
                  <c:v>82.397999999999996</c:v>
                </c:pt>
                <c:pt idx="1">
                  <c:v>82.397999999999996</c:v>
                </c:pt>
                <c:pt idx="2">
                  <c:v>82.397999999999996</c:v>
                </c:pt>
                <c:pt idx="3">
                  <c:v>82.397999999999996</c:v>
                </c:pt>
                <c:pt idx="4">
                  <c:v>82.397999999999996</c:v>
                </c:pt>
                <c:pt idx="5">
                  <c:v>82.397999999999996</c:v>
                </c:pt>
                <c:pt idx="6">
                  <c:v>82.397999999999996</c:v>
                </c:pt>
                <c:pt idx="7">
                  <c:v>82.397999999999996</c:v>
                </c:pt>
                <c:pt idx="8">
                  <c:v>82.397999999999996</c:v>
                </c:pt>
                <c:pt idx="9">
                  <c:v>82.397999999999996</c:v>
                </c:pt>
                <c:pt idx="10">
                  <c:v>82.397999999999996</c:v>
                </c:pt>
                <c:pt idx="11">
                  <c:v>82.397999999999996</c:v>
                </c:pt>
                <c:pt idx="12">
                  <c:v>82.397999999999996</c:v>
                </c:pt>
                <c:pt idx="13">
                  <c:v>82.397999999999996</c:v>
                </c:pt>
                <c:pt idx="14">
                  <c:v>82.397999999999996</c:v>
                </c:pt>
                <c:pt idx="15">
                  <c:v>82.397900000000007</c:v>
                </c:pt>
                <c:pt idx="16">
                  <c:v>82.397900000000007</c:v>
                </c:pt>
                <c:pt idx="17">
                  <c:v>82.397900000000007</c:v>
                </c:pt>
                <c:pt idx="18">
                  <c:v>82.397900000000007</c:v>
                </c:pt>
                <c:pt idx="19">
                  <c:v>82.397900000000007</c:v>
                </c:pt>
                <c:pt idx="20">
                  <c:v>82.397800000000004</c:v>
                </c:pt>
                <c:pt idx="21">
                  <c:v>82.397800000000004</c:v>
                </c:pt>
                <c:pt idx="22">
                  <c:v>82.397599999999997</c:v>
                </c:pt>
                <c:pt idx="23">
                  <c:v>82.397400000000005</c:v>
                </c:pt>
                <c:pt idx="24">
                  <c:v>82.397099999999995</c:v>
                </c:pt>
                <c:pt idx="25">
                  <c:v>82.396699999999996</c:v>
                </c:pt>
                <c:pt idx="26">
                  <c:v>82.395899999999997</c:v>
                </c:pt>
                <c:pt idx="27">
                  <c:v>82.3947</c:v>
                </c:pt>
                <c:pt idx="28">
                  <c:v>82.392799999999994</c:v>
                </c:pt>
                <c:pt idx="29">
                  <c:v>82.389799999999994</c:v>
                </c:pt>
                <c:pt idx="30">
                  <c:v>82.385000000000005</c:v>
                </c:pt>
                <c:pt idx="31">
                  <c:v>82.377399999999994</c:v>
                </c:pt>
                <c:pt idx="32">
                  <c:v>82.365499999999997</c:v>
                </c:pt>
                <c:pt idx="33">
                  <c:v>82.346599999999995</c:v>
                </c:pt>
                <c:pt idx="34">
                  <c:v>82.316800000000001</c:v>
                </c:pt>
                <c:pt idx="35">
                  <c:v>82.270099999999999</c:v>
                </c:pt>
                <c:pt idx="36">
                  <c:v>82.197000000000003</c:v>
                </c:pt>
                <c:pt idx="37">
                  <c:v>82.083600000000004</c:v>
                </c:pt>
                <c:pt idx="38">
                  <c:v>81.909800000000004</c:v>
                </c:pt>
                <c:pt idx="39">
                  <c:v>81.647800000000004</c:v>
                </c:pt>
                <c:pt idx="40">
                  <c:v>81.262500000000003</c:v>
                </c:pt>
                <c:pt idx="41">
                  <c:v>80.714200000000005</c:v>
                </c:pt>
                <c:pt idx="42">
                  <c:v>79.966099999999997</c:v>
                </c:pt>
                <c:pt idx="43">
                  <c:v>78.994299999999996</c:v>
                </c:pt>
                <c:pt idx="44">
                  <c:v>77.795900000000003</c:v>
                </c:pt>
                <c:pt idx="45">
                  <c:v>76.390199999999993</c:v>
                </c:pt>
                <c:pt idx="46">
                  <c:v>74.811899999999994</c:v>
                </c:pt>
                <c:pt idx="47">
                  <c:v>73.100700000000003</c:v>
                </c:pt>
                <c:pt idx="48">
                  <c:v>71.293300000000002</c:v>
                </c:pt>
                <c:pt idx="49">
                  <c:v>69.419399999999996</c:v>
                </c:pt>
                <c:pt idx="50">
                  <c:v>67.500900000000001</c:v>
                </c:pt>
                <c:pt idx="51">
                  <c:v>65.553100000000001</c:v>
                </c:pt>
                <c:pt idx="52">
                  <c:v>63.586399999999998</c:v>
                </c:pt>
                <c:pt idx="53">
                  <c:v>61.607500000000002</c:v>
                </c:pt>
                <c:pt idx="54">
                  <c:v>59.620899999999999</c:v>
                </c:pt>
                <c:pt idx="55">
                  <c:v>57.629399999999997</c:v>
                </c:pt>
                <c:pt idx="56">
                  <c:v>55.634700000000002</c:v>
                </c:pt>
                <c:pt idx="57">
                  <c:v>53.638100000000001</c:v>
                </c:pt>
                <c:pt idx="58">
                  <c:v>51.6402</c:v>
                </c:pt>
                <c:pt idx="59">
                  <c:v>49.641599999999997</c:v>
                </c:pt>
                <c:pt idx="60">
                  <c:v>47.642400000000002</c:v>
                </c:pt>
                <c:pt idx="61">
                  <c:v>45.642899999999997</c:v>
                </c:pt>
                <c:pt idx="62">
                  <c:v>43.643300000000004</c:v>
                </c:pt>
                <c:pt idx="63">
                  <c:v>41.643500000000003</c:v>
                </c:pt>
                <c:pt idx="64">
                  <c:v>39.643599999999999</c:v>
                </c:pt>
                <c:pt idx="65">
                  <c:v>37.643700000000003</c:v>
                </c:pt>
                <c:pt idx="66">
                  <c:v>35.643700000000003</c:v>
                </c:pt>
                <c:pt idx="67">
                  <c:v>33.643700000000003</c:v>
                </c:pt>
                <c:pt idx="68">
                  <c:v>31.643599999999999</c:v>
                </c:pt>
                <c:pt idx="69">
                  <c:v>29.6435</c:v>
                </c:pt>
                <c:pt idx="70">
                  <c:v>27.6433</c:v>
                </c:pt>
                <c:pt idx="71">
                  <c:v>25.642900000000001</c:v>
                </c:pt>
                <c:pt idx="72">
                  <c:v>23.642299999999999</c:v>
                </c:pt>
                <c:pt idx="73">
                  <c:v>21.641500000000001</c:v>
                </c:pt>
                <c:pt idx="74">
                  <c:v>19.6401</c:v>
                </c:pt>
                <c:pt idx="75">
                  <c:v>17.637799999999999</c:v>
                </c:pt>
                <c:pt idx="76">
                  <c:v>15.6343</c:v>
                </c:pt>
                <c:pt idx="77">
                  <c:v>13.6288</c:v>
                </c:pt>
                <c:pt idx="78">
                  <c:v>11.62</c:v>
                </c:pt>
                <c:pt idx="79">
                  <c:v>9.6060099999999995</c:v>
                </c:pt>
                <c:pt idx="80">
                  <c:v>7.58399</c:v>
                </c:pt>
                <c:pt idx="81">
                  <c:v>5.5492800000000004</c:v>
                </c:pt>
                <c:pt idx="82">
                  <c:v>3.49472</c:v>
                </c:pt>
                <c:pt idx="83">
                  <c:v>1.40934</c:v>
                </c:pt>
                <c:pt idx="84">
                  <c:v>-0.72330000000000005</c:v>
                </c:pt>
                <c:pt idx="85">
                  <c:v>-2.9272399999999998</c:v>
                </c:pt>
                <c:pt idx="86">
                  <c:v>-5.2360800000000003</c:v>
                </c:pt>
                <c:pt idx="87">
                  <c:v>-7.6940799999999996</c:v>
                </c:pt>
                <c:pt idx="88">
                  <c:v>-10.354900000000001</c:v>
                </c:pt>
                <c:pt idx="89">
                  <c:v>-13.277200000000001</c:v>
                </c:pt>
                <c:pt idx="90">
                  <c:v>-16.517199999999999</c:v>
                </c:pt>
                <c:pt idx="91">
                  <c:v>-20.121099999999998</c:v>
                </c:pt>
                <c:pt idx="92">
                  <c:v>-24.121400000000001</c:v>
                </c:pt>
                <c:pt idx="93">
                  <c:v>-28.535399999999999</c:v>
                </c:pt>
                <c:pt idx="94">
                  <c:v>-33.365900000000003</c:v>
                </c:pt>
                <c:pt idx="95">
                  <c:v>-38.603400000000001</c:v>
                </c:pt>
                <c:pt idx="96">
                  <c:v>-44.2301</c:v>
                </c:pt>
                <c:pt idx="97">
                  <c:v>-50.226700000000001</c:v>
                </c:pt>
                <c:pt idx="98">
                  <c:v>-56.575800000000001</c:v>
                </c:pt>
                <c:pt idx="99">
                  <c:v>-63.258499999999998</c:v>
                </c:pt>
                <c:pt idx="100">
                  <c:v>-70.247699999999995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E0-4A83-A4E8-366C16FA478A}"/>
            </c:ext>
          </c:extLst>
        </c:ser>
        <c:ser>
          <c:idx val="1"/>
          <c:order val="1"/>
          <c:tx>
            <c:v>АЧХ ОУmax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Лист1!$V$5:$V$6</c:f>
              <c:numCache>
                <c:formatCode>General</c:formatCode>
                <c:ptCount val="2"/>
                <c:pt idx="0">
                  <c:v>1</c:v>
                </c:pt>
                <c:pt idx="1">
                  <c:v>10000000000</c:v>
                </c:pt>
              </c:numCache>
            </c:numRef>
          </c:xVal>
          <c:yVal>
            <c:numRef>
              <c:f>Лист1!$W$5:$W$6</c:f>
              <c:numCache>
                <c:formatCode>General</c:formatCode>
                <c:ptCount val="2"/>
                <c:pt idx="0">
                  <c:v>79.387999999999991</c:v>
                </c:pt>
                <c:pt idx="1">
                  <c:v>79.387999999999991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E0-4A83-A4E8-366C16FA4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483839"/>
        <c:axId val="53226689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-20 дБ/дек</c:v>
                </c:tx>
                <c:spPr>
                  <a:ln w="19050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Лист1!$V$10:$V$14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100000</c:v>
                      </c:pt>
                      <c:pt idx="2">
                        <c:v>1000000</c:v>
                      </c:pt>
                      <c:pt idx="3">
                        <c:v>10000000</c:v>
                      </c:pt>
                      <c:pt idx="4">
                        <c:v>100000000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Лист1!$W$10:$W$14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87.500900000000001</c:v>
                      </c:pt>
                      <c:pt idx="1">
                        <c:v>67.500900000000001</c:v>
                      </c:pt>
                      <c:pt idx="2">
                        <c:v>47.642400000000002</c:v>
                      </c:pt>
                      <c:pt idx="3">
                        <c:v>27.6433</c:v>
                      </c:pt>
                      <c:pt idx="4">
                        <c:v>7.58399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AE0-4A83-A4E8-366C16FA478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-40 дБ/дек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Лист1!$Y$10:$Y$11</c15:sqref>
                        </c15:formulaRef>
                      </c:ext>
                    </c:extLst>
                    <c:numCache>
                      <c:formatCode>0.00E+00</c:formatCode>
                      <c:ptCount val="2"/>
                      <c:pt idx="0">
                        <c:v>10000000000</c:v>
                      </c:pt>
                      <c:pt idx="1">
                        <c:v>2400000000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Лист1!$Z$10:$Z$11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-70.247699999999995</c:v>
                      </c:pt>
                      <c:pt idx="1">
                        <c:v>-30.247699999999995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AE0-4A83-A4E8-366C16FA478A}"/>
                  </c:ext>
                </c:extLst>
              </c15:ser>
            </c15:filteredScatterSeries>
          </c:ext>
        </c:extLst>
      </c:scatterChart>
      <c:valAx>
        <c:axId val="537483839"/>
        <c:scaling>
          <c:orientation val="minMax"/>
          <c:max val="26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66895"/>
        <c:crosses val="autoZero"/>
        <c:crossBetween val="midCat"/>
      </c:valAx>
      <c:valAx>
        <c:axId val="532266895"/>
        <c:scaling>
          <c:orientation val="minMax"/>
          <c:max val="82"/>
          <c:min val="7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48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915962339569941"/>
          <c:y val="0.16441791095382996"/>
          <c:w val="0.20406683109565432"/>
          <c:h val="0.15995795580591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616892701358274E-2"/>
          <c:y val="2.4102979245557772E-2"/>
          <c:w val="0.92177072736139598"/>
          <c:h val="0.95179404150888447"/>
        </c:manualLayout>
      </c:layout>
      <c:scatterChart>
        <c:scatterStyle val="lineMarker"/>
        <c:varyColors val="0"/>
        <c:ser>
          <c:idx val="0"/>
          <c:order val="0"/>
          <c:tx>
            <c:v>АЧХ ОУ,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Лист1!$A$1:$A$101</c:f>
              <c:numCache>
                <c:formatCode>General</c:formatCode>
                <c:ptCount val="10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  <c:pt idx="51">
                  <c:v>125892.54120000001</c:v>
                </c:pt>
                <c:pt idx="52">
                  <c:v>158489.3192</c:v>
                </c:pt>
                <c:pt idx="53">
                  <c:v>199526.23149999999</c:v>
                </c:pt>
                <c:pt idx="54">
                  <c:v>251188.64319999999</c:v>
                </c:pt>
                <c:pt idx="55">
                  <c:v>316227.766</c:v>
                </c:pt>
                <c:pt idx="56">
                  <c:v>398107.17060000001</c:v>
                </c:pt>
                <c:pt idx="57">
                  <c:v>501187.23359999998</c:v>
                </c:pt>
                <c:pt idx="58">
                  <c:v>630957.34450000001</c:v>
                </c:pt>
                <c:pt idx="59">
                  <c:v>794328.23470000003</c:v>
                </c:pt>
                <c:pt idx="60">
                  <c:v>1000000</c:v>
                </c:pt>
                <c:pt idx="61">
                  <c:v>1258925.412</c:v>
                </c:pt>
                <c:pt idx="62">
                  <c:v>1584893.192</c:v>
                </c:pt>
                <c:pt idx="63">
                  <c:v>1995262.3149999999</c:v>
                </c:pt>
                <c:pt idx="64">
                  <c:v>2511886.432</c:v>
                </c:pt>
                <c:pt idx="65">
                  <c:v>3162277.66</c:v>
                </c:pt>
                <c:pt idx="66">
                  <c:v>3981071.7059999998</c:v>
                </c:pt>
                <c:pt idx="67">
                  <c:v>5011872.3360000001</c:v>
                </c:pt>
                <c:pt idx="68">
                  <c:v>6309573.4450000003</c:v>
                </c:pt>
                <c:pt idx="69">
                  <c:v>7943282.3470000001</c:v>
                </c:pt>
                <c:pt idx="70">
                  <c:v>10000000</c:v>
                </c:pt>
                <c:pt idx="71">
                  <c:v>12589254.119999999</c:v>
                </c:pt>
                <c:pt idx="72">
                  <c:v>15848931.92</c:v>
                </c:pt>
                <c:pt idx="73">
                  <c:v>19952623.149999999</c:v>
                </c:pt>
                <c:pt idx="74">
                  <c:v>25118864.32</c:v>
                </c:pt>
                <c:pt idx="75">
                  <c:v>31622776.600000001</c:v>
                </c:pt>
                <c:pt idx="76">
                  <c:v>39810717.060000002</c:v>
                </c:pt>
                <c:pt idx="77">
                  <c:v>50118723.359999999</c:v>
                </c:pt>
                <c:pt idx="78">
                  <c:v>63095734.450000003</c:v>
                </c:pt>
                <c:pt idx="79">
                  <c:v>79432823.469999999</c:v>
                </c:pt>
                <c:pt idx="80">
                  <c:v>100000000</c:v>
                </c:pt>
                <c:pt idx="81">
                  <c:v>125892541.2</c:v>
                </c:pt>
                <c:pt idx="82">
                  <c:v>158489319.19999999</c:v>
                </c:pt>
                <c:pt idx="83">
                  <c:v>199526231.5</c:v>
                </c:pt>
                <c:pt idx="84">
                  <c:v>251188643.19999999</c:v>
                </c:pt>
                <c:pt idx="85">
                  <c:v>316227766</c:v>
                </c:pt>
                <c:pt idx="86">
                  <c:v>398107170.60000002</c:v>
                </c:pt>
                <c:pt idx="87">
                  <c:v>501187233.60000002</c:v>
                </c:pt>
                <c:pt idx="88">
                  <c:v>630957344.5</c:v>
                </c:pt>
                <c:pt idx="89">
                  <c:v>794328234.70000005</c:v>
                </c:pt>
                <c:pt idx="90">
                  <c:v>1000000000</c:v>
                </c:pt>
                <c:pt idx="91">
                  <c:v>1258925412</c:v>
                </c:pt>
                <c:pt idx="92">
                  <c:v>1584893192</c:v>
                </c:pt>
                <c:pt idx="93">
                  <c:v>1995262315</c:v>
                </c:pt>
                <c:pt idx="94">
                  <c:v>2511886432</c:v>
                </c:pt>
                <c:pt idx="95">
                  <c:v>3162277660</c:v>
                </c:pt>
                <c:pt idx="96">
                  <c:v>3981071706</c:v>
                </c:pt>
                <c:pt idx="97">
                  <c:v>5011872336</c:v>
                </c:pt>
                <c:pt idx="98">
                  <c:v>6309573445</c:v>
                </c:pt>
                <c:pt idx="99">
                  <c:v>7943282347</c:v>
                </c:pt>
                <c:pt idx="100" formatCode="0.00E+00">
                  <c:v>10000000000</c:v>
                </c:pt>
              </c:numCache>
            </c:numRef>
          </c:xVal>
          <c:yVal>
            <c:numRef>
              <c:f>Лист1!$B$1:$B$101</c:f>
              <c:numCache>
                <c:formatCode>General</c:formatCode>
                <c:ptCount val="101"/>
                <c:pt idx="0">
                  <c:v>82.397999999999996</c:v>
                </c:pt>
                <c:pt idx="1">
                  <c:v>82.397999999999996</c:v>
                </c:pt>
                <c:pt idx="2">
                  <c:v>82.397999999999996</c:v>
                </c:pt>
                <c:pt idx="3">
                  <c:v>82.397999999999996</c:v>
                </c:pt>
                <c:pt idx="4">
                  <c:v>82.397999999999996</c:v>
                </c:pt>
                <c:pt idx="5">
                  <c:v>82.397999999999996</c:v>
                </c:pt>
                <c:pt idx="6">
                  <c:v>82.397999999999996</c:v>
                </c:pt>
                <c:pt idx="7">
                  <c:v>82.397999999999996</c:v>
                </c:pt>
                <c:pt idx="8">
                  <c:v>82.397999999999996</c:v>
                </c:pt>
                <c:pt idx="9">
                  <c:v>82.397999999999996</c:v>
                </c:pt>
                <c:pt idx="10">
                  <c:v>82.397999999999996</c:v>
                </c:pt>
                <c:pt idx="11">
                  <c:v>82.397999999999996</c:v>
                </c:pt>
                <c:pt idx="12">
                  <c:v>82.397999999999996</c:v>
                </c:pt>
                <c:pt idx="13">
                  <c:v>82.397999999999996</c:v>
                </c:pt>
                <c:pt idx="14">
                  <c:v>82.397999999999996</c:v>
                </c:pt>
                <c:pt idx="15">
                  <c:v>82.397900000000007</c:v>
                </c:pt>
                <c:pt idx="16">
                  <c:v>82.397900000000007</c:v>
                </c:pt>
                <c:pt idx="17">
                  <c:v>82.397900000000007</c:v>
                </c:pt>
                <c:pt idx="18">
                  <c:v>82.397900000000007</c:v>
                </c:pt>
                <c:pt idx="19">
                  <c:v>82.397900000000007</c:v>
                </c:pt>
                <c:pt idx="20">
                  <c:v>82.397800000000004</c:v>
                </c:pt>
                <c:pt idx="21">
                  <c:v>82.397800000000004</c:v>
                </c:pt>
                <c:pt idx="22">
                  <c:v>82.397599999999997</c:v>
                </c:pt>
                <c:pt idx="23">
                  <c:v>82.397400000000005</c:v>
                </c:pt>
                <c:pt idx="24">
                  <c:v>82.397099999999995</c:v>
                </c:pt>
                <c:pt idx="25">
                  <c:v>82.396699999999996</c:v>
                </c:pt>
                <c:pt idx="26">
                  <c:v>82.395899999999997</c:v>
                </c:pt>
                <c:pt idx="27">
                  <c:v>82.3947</c:v>
                </c:pt>
                <c:pt idx="28">
                  <c:v>82.392799999999994</c:v>
                </c:pt>
                <c:pt idx="29">
                  <c:v>82.389799999999994</c:v>
                </c:pt>
                <c:pt idx="30">
                  <c:v>82.385000000000005</c:v>
                </c:pt>
                <c:pt idx="31">
                  <c:v>82.377399999999994</c:v>
                </c:pt>
                <c:pt idx="32">
                  <c:v>82.365499999999997</c:v>
                </c:pt>
                <c:pt idx="33">
                  <c:v>82.346599999999995</c:v>
                </c:pt>
                <c:pt idx="34">
                  <c:v>82.316800000000001</c:v>
                </c:pt>
                <c:pt idx="35">
                  <c:v>82.270099999999999</c:v>
                </c:pt>
                <c:pt idx="36">
                  <c:v>82.197000000000003</c:v>
                </c:pt>
                <c:pt idx="37">
                  <c:v>82.083600000000004</c:v>
                </c:pt>
                <c:pt idx="38">
                  <c:v>81.909800000000004</c:v>
                </c:pt>
                <c:pt idx="39">
                  <c:v>81.647800000000004</c:v>
                </c:pt>
                <c:pt idx="40">
                  <c:v>81.262500000000003</c:v>
                </c:pt>
                <c:pt idx="41">
                  <c:v>80.714200000000005</c:v>
                </c:pt>
                <c:pt idx="42">
                  <c:v>79.966099999999997</c:v>
                </c:pt>
                <c:pt idx="43">
                  <c:v>78.994299999999996</c:v>
                </c:pt>
                <c:pt idx="44">
                  <c:v>77.795900000000003</c:v>
                </c:pt>
                <c:pt idx="45">
                  <c:v>76.390199999999993</c:v>
                </c:pt>
                <c:pt idx="46">
                  <c:v>74.811899999999994</c:v>
                </c:pt>
                <c:pt idx="47">
                  <c:v>73.100700000000003</c:v>
                </c:pt>
                <c:pt idx="48">
                  <c:v>71.293300000000002</c:v>
                </c:pt>
                <c:pt idx="49">
                  <c:v>69.419399999999996</c:v>
                </c:pt>
                <c:pt idx="50">
                  <c:v>67.500900000000001</c:v>
                </c:pt>
                <c:pt idx="51">
                  <c:v>65.553100000000001</c:v>
                </c:pt>
                <c:pt idx="52">
                  <c:v>63.586399999999998</c:v>
                </c:pt>
                <c:pt idx="53">
                  <c:v>61.607500000000002</c:v>
                </c:pt>
                <c:pt idx="54">
                  <c:v>59.620899999999999</c:v>
                </c:pt>
                <c:pt idx="55">
                  <c:v>57.629399999999997</c:v>
                </c:pt>
                <c:pt idx="56">
                  <c:v>55.634700000000002</c:v>
                </c:pt>
                <c:pt idx="57">
                  <c:v>53.638100000000001</c:v>
                </c:pt>
                <c:pt idx="58">
                  <c:v>51.6402</c:v>
                </c:pt>
                <c:pt idx="59">
                  <c:v>49.641599999999997</c:v>
                </c:pt>
                <c:pt idx="60">
                  <c:v>47.642400000000002</c:v>
                </c:pt>
                <c:pt idx="61">
                  <c:v>45.642899999999997</c:v>
                </c:pt>
                <c:pt idx="62">
                  <c:v>43.643300000000004</c:v>
                </c:pt>
                <c:pt idx="63">
                  <c:v>41.643500000000003</c:v>
                </c:pt>
                <c:pt idx="64">
                  <c:v>39.643599999999999</c:v>
                </c:pt>
                <c:pt idx="65">
                  <c:v>37.643700000000003</c:v>
                </c:pt>
                <c:pt idx="66">
                  <c:v>35.643700000000003</c:v>
                </c:pt>
                <c:pt idx="67">
                  <c:v>33.643700000000003</c:v>
                </c:pt>
                <c:pt idx="68">
                  <c:v>31.643599999999999</c:v>
                </c:pt>
                <c:pt idx="69">
                  <c:v>29.6435</c:v>
                </c:pt>
                <c:pt idx="70">
                  <c:v>27.6433</c:v>
                </c:pt>
                <c:pt idx="71">
                  <c:v>25.642900000000001</c:v>
                </c:pt>
                <c:pt idx="72">
                  <c:v>23.642299999999999</c:v>
                </c:pt>
                <c:pt idx="73">
                  <c:v>21.641500000000001</c:v>
                </c:pt>
                <c:pt idx="74">
                  <c:v>19.6401</c:v>
                </c:pt>
                <c:pt idx="75">
                  <c:v>17.637799999999999</c:v>
                </c:pt>
                <c:pt idx="76">
                  <c:v>15.6343</c:v>
                </c:pt>
                <c:pt idx="77">
                  <c:v>13.6288</c:v>
                </c:pt>
                <c:pt idx="78">
                  <c:v>11.62</c:v>
                </c:pt>
                <c:pt idx="79">
                  <c:v>9.6060099999999995</c:v>
                </c:pt>
                <c:pt idx="80">
                  <c:v>7.58399</c:v>
                </c:pt>
                <c:pt idx="81">
                  <c:v>5.5492800000000004</c:v>
                </c:pt>
                <c:pt idx="82">
                  <c:v>3.49472</c:v>
                </c:pt>
                <c:pt idx="83">
                  <c:v>1.40934</c:v>
                </c:pt>
                <c:pt idx="84">
                  <c:v>-0.72330000000000005</c:v>
                </c:pt>
                <c:pt idx="85">
                  <c:v>-2.9272399999999998</c:v>
                </c:pt>
                <c:pt idx="86">
                  <c:v>-5.2360800000000003</c:v>
                </c:pt>
                <c:pt idx="87">
                  <c:v>-7.6940799999999996</c:v>
                </c:pt>
                <c:pt idx="88">
                  <c:v>-10.354900000000001</c:v>
                </c:pt>
                <c:pt idx="89">
                  <c:v>-13.277200000000001</c:v>
                </c:pt>
                <c:pt idx="90">
                  <c:v>-16.517199999999999</c:v>
                </c:pt>
                <c:pt idx="91">
                  <c:v>-20.121099999999998</c:v>
                </c:pt>
                <c:pt idx="92">
                  <c:v>-24.121400000000001</c:v>
                </c:pt>
                <c:pt idx="93">
                  <c:v>-28.535399999999999</c:v>
                </c:pt>
                <c:pt idx="94">
                  <c:v>-33.365900000000003</c:v>
                </c:pt>
                <c:pt idx="95">
                  <c:v>-38.603400000000001</c:v>
                </c:pt>
                <c:pt idx="96">
                  <c:v>-44.2301</c:v>
                </c:pt>
                <c:pt idx="97">
                  <c:v>-50.226700000000001</c:v>
                </c:pt>
                <c:pt idx="98">
                  <c:v>-56.575800000000001</c:v>
                </c:pt>
                <c:pt idx="99">
                  <c:v>-63.258499999999998</c:v>
                </c:pt>
                <c:pt idx="100">
                  <c:v>-70.247699999999995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87-4FF0-B6C8-13FF15361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483839"/>
        <c:axId val="5322668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АЧХ ОУ = 79,388 дБ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Лист1!$V$5:$V$6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10000000000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Лист1!$W$5:$W$6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79.387999999999991</c:v>
                      </c:pt>
                      <c:pt idx="1">
                        <c:v>79.387999999999991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1887-4FF0-B6C8-13FF15361F0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-20 дБ/дек</c:v>
                </c:tx>
                <c:spPr>
                  <a:ln w="19050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Лист1!$V$10:$V$14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100000</c:v>
                      </c:pt>
                      <c:pt idx="2">
                        <c:v>1000000</c:v>
                      </c:pt>
                      <c:pt idx="3">
                        <c:v>10000000</c:v>
                      </c:pt>
                      <c:pt idx="4">
                        <c:v>100000000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Лист1!$W$10:$W$14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87.500900000000001</c:v>
                      </c:pt>
                      <c:pt idx="1">
                        <c:v>67.500900000000001</c:v>
                      </c:pt>
                      <c:pt idx="2">
                        <c:v>47.642400000000002</c:v>
                      </c:pt>
                      <c:pt idx="3">
                        <c:v>27.6433</c:v>
                      </c:pt>
                      <c:pt idx="4">
                        <c:v>7.58399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887-4FF0-B6C8-13FF15361F0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-40 дБ/дек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Лист1!$Y$10:$Y$11</c15:sqref>
                        </c15:formulaRef>
                      </c:ext>
                    </c:extLst>
                    <c:numCache>
                      <c:formatCode>0.00E+00</c:formatCode>
                      <c:ptCount val="2"/>
                      <c:pt idx="0">
                        <c:v>10000000000</c:v>
                      </c:pt>
                      <c:pt idx="1">
                        <c:v>2400000000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Лист1!$Z$10:$Z$11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-70.247699999999995</c:v>
                      </c:pt>
                      <c:pt idx="1">
                        <c:v>-30.247699999999995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87-4FF0-B6C8-13FF15361F01}"/>
                  </c:ext>
                </c:extLst>
              </c15:ser>
            </c15:filteredScatterSeries>
          </c:ext>
        </c:extLst>
      </c:scatterChart>
      <c:valAx>
        <c:axId val="537483839"/>
        <c:scaling>
          <c:orientation val="minMax"/>
          <c:max val="260000000"/>
          <c:min val="2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66895"/>
        <c:crosses val="autoZero"/>
        <c:crossBetween val="midCat"/>
        <c:majorUnit val="10000000"/>
      </c:valAx>
      <c:valAx>
        <c:axId val="532266895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483839"/>
        <c:crosses val="autoZero"/>
        <c:crossBetween val="midCat"/>
        <c:majorUnit val="0.5"/>
        <c:min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54404705304074"/>
          <c:y val="0.17114626128859525"/>
          <c:w val="0.21144848273276184"/>
          <c:h val="0.21787084016417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616892701358274E-2"/>
          <c:y val="2.4102979245557772E-2"/>
          <c:w val="0.92177072736139598"/>
          <c:h val="0.95179404150888447"/>
        </c:manualLayout>
      </c:layout>
      <c:scatterChart>
        <c:scatterStyle val="lineMarker"/>
        <c:varyColors val="0"/>
        <c:ser>
          <c:idx val="4"/>
          <c:order val="4"/>
          <c:tx>
            <c:v>АЧХ, дБ</c:v>
          </c:tx>
          <c:spPr>
            <a:ln w="19050" cap="rnd">
              <a:solidFill>
                <a:srgbClr val="D434C1"/>
              </a:solidFill>
              <a:round/>
            </a:ln>
            <a:effectLst/>
          </c:spPr>
          <c:marker>
            <c:symbol val="none"/>
          </c:marker>
          <c:xVal>
            <c:numRef>
              <c:f>Лист7!$A$1:$A$101</c:f>
              <c:numCache>
                <c:formatCode>General</c:formatCode>
                <c:ptCount val="10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  <c:pt idx="51">
                  <c:v>125892.54120000001</c:v>
                </c:pt>
                <c:pt idx="52">
                  <c:v>158489.3192</c:v>
                </c:pt>
                <c:pt idx="53">
                  <c:v>199526.23149999999</c:v>
                </c:pt>
                <c:pt idx="54">
                  <c:v>251188.64319999999</c:v>
                </c:pt>
                <c:pt idx="55">
                  <c:v>316227.766</c:v>
                </c:pt>
                <c:pt idx="56">
                  <c:v>398107.17060000001</c:v>
                </c:pt>
                <c:pt idx="57">
                  <c:v>501187.23359999998</c:v>
                </c:pt>
                <c:pt idx="58">
                  <c:v>630957.34450000001</c:v>
                </c:pt>
                <c:pt idx="59">
                  <c:v>794328.23470000003</c:v>
                </c:pt>
                <c:pt idx="60">
                  <c:v>1000000</c:v>
                </c:pt>
                <c:pt idx="61">
                  <c:v>1258925.412</c:v>
                </c:pt>
                <c:pt idx="62">
                  <c:v>1584893.192</c:v>
                </c:pt>
                <c:pt idx="63">
                  <c:v>1995262.3149999999</c:v>
                </c:pt>
                <c:pt idx="64">
                  <c:v>2511886.432</c:v>
                </c:pt>
                <c:pt idx="65">
                  <c:v>3162277.66</c:v>
                </c:pt>
                <c:pt idx="66">
                  <c:v>3981071.7059999998</c:v>
                </c:pt>
                <c:pt idx="67">
                  <c:v>5011872.3360000001</c:v>
                </c:pt>
                <c:pt idx="68">
                  <c:v>6309573.4450000003</c:v>
                </c:pt>
                <c:pt idx="69">
                  <c:v>7943282.3470000001</c:v>
                </c:pt>
                <c:pt idx="70">
                  <c:v>10000000</c:v>
                </c:pt>
                <c:pt idx="71">
                  <c:v>12589254.119999999</c:v>
                </c:pt>
                <c:pt idx="72">
                  <c:v>15848931.92</c:v>
                </c:pt>
                <c:pt idx="73">
                  <c:v>19952623.149999999</c:v>
                </c:pt>
                <c:pt idx="74">
                  <c:v>25118864.32</c:v>
                </c:pt>
                <c:pt idx="75">
                  <c:v>31622776.600000001</c:v>
                </c:pt>
                <c:pt idx="76">
                  <c:v>39810717.060000002</c:v>
                </c:pt>
                <c:pt idx="77">
                  <c:v>50118723.359999999</c:v>
                </c:pt>
                <c:pt idx="78">
                  <c:v>63095734.450000003</c:v>
                </c:pt>
                <c:pt idx="79">
                  <c:v>79432823.469999999</c:v>
                </c:pt>
                <c:pt idx="80">
                  <c:v>100000000</c:v>
                </c:pt>
                <c:pt idx="81">
                  <c:v>125892541.2</c:v>
                </c:pt>
                <c:pt idx="82">
                  <c:v>158489319.19999999</c:v>
                </c:pt>
                <c:pt idx="83">
                  <c:v>199526231.5</c:v>
                </c:pt>
                <c:pt idx="84">
                  <c:v>251188643.19999999</c:v>
                </c:pt>
                <c:pt idx="85">
                  <c:v>316227766</c:v>
                </c:pt>
                <c:pt idx="86">
                  <c:v>398107170.60000002</c:v>
                </c:pt>
                <c:pt idx="87">
                  <c:v>501187233.60000002</c:v>
                </c:pt>
                <c:pt idx="88">
                  <c:v>630957344.5</c:v>
                </c:pt>
                <c:pt idx="89">
                  <c:v>794328234.70000005</c:v>
                </c:pt>
                <c:pt idx="90">
                  <c:v>1000000000</c:v>
                </c:pt>
                <c:pt idx="91">
                  <c:v>1258925412</c:v>
                </c:pt>
                <c:pt idx="92">
                  <c:v>1584893192</c:v>
                </c:pt>
                <c:pt idx="93">
                  <c:v>1995262315</c:v>
                </c:pt>
                <c:pt idx="94">
                  <c:v>2511886432</c:v>
                </c:pt>
                <c:pt idx="95">
                  <c:v>3162277660</c:v>
                </c:pt>
                <c:pt idx="96">
                  <c:v>3981071706</c:v>
                </c:pt>
                <c:pt idx="97">
                  <c:v>5011872336</c:v>
                </c:pt>
                <c:pt idx="98">
                  <c:v>6309573445</c:v>
                </c:pt>
                <c:pt idx="99">
                  <c:v>7943282347</c:v>
                </c:pt>
                <c:pt idx="100" formatCode="0.00E+00">
                  <c:v>10000000000</c:v>
                </c:pt>
              </c:numCache>
            </c:numRef>
          </c:xVal>
          <c:yVal>
            <c:numRef>
              <c:f>Лист7!$B$1:$B$101</c:f>
              <c:numCache>
                <c:formatCode>General</c:formatCode>
                <c:ptCount val="101"/>
                <c:pt idx="0">
                  <c:v>15.567</c:v>
                </c:pt>
                <c:pt idx="1">
                  <c:v>15.567</c:v>
                </c:pt>
                <c:pt idx="2">
                  <c:v>15.567</c:v>
                </c:pt>
                <c:pt idx="3">
                  <c:v>15.567</c:v>
                </c:pt>
                <c:pt idx="4">
                  <c:v>15.567</c:v>
                </c:pt>
                <c:pt idx="5">
                  <c:v>15.567</c:v>
                </c:pt>
                <c:pt idx="6">
                  <c:v>15.567</c:v>
                </c:pt>
                <c:pt idx="7">
                  <c:v>15.567</c:v>
                </c:pt>
                <c:pt idx="8">
                  <c:v>15.567</c:v>
                </c:pt>
                <c:pt idx="9">
                  <c:v>15.567</c:v>
                </c:pt>
                <c:pt idx="10">
                  <c:v>15.567</c:v>
                </c:pt>
                <c:pt idx="11">
                  <c:v>15.567</c:v>
                </c:pt>
                <c:pt idx="12">
                  <c:v>15.567</c:v>
                </c:pt>
                <c:pt idx="13">
                  <c:v>15.567</c:v>
                </c:pt>
                <c:pt idx="14">
                  <c:v>15.567</c:v>
                </c:pt>
                <c:pt idx="15">
                  <c:v>15.567</c:v>
                </c:pt>
                <c:pt idx="16">
                  <c:v>15.567</c:v>
                </c:pt>
                <c:pt idx="17">
                  <c:v>15.567</c:v>
                </c:pt>
                <c:pt idx="18">
                  <c:v>15.567</c:v>
                </c:pt>
                <c:pt idx="19">
                  <c:v>15.567</c:v>
                </c:pt>
                <c:pt idx="20">
                  <c:v>15.567</c:v>
                </c:pt>
                <c:pt idx="21">
                  <c:v>15.567</c:v>
                </c:pt>
                <c:pt idx="22">
                  <c:v>15.567</c:v>
                </c:pt>
                <c:pt idx="23">
                  <c:v>15.567</c:v>
                </c:pt>
                <c:pt idx="24">
                  <c:v>15.567</c:v>
                </c:pt>
                <c:pt idx="25">
                  <c:v>15.567</c:v>
                </c:pt>
                <c:pt idx="26">
                  <c:v>15.567</c:v>
                </c:pt>
                <c:pt idx="27">
                  <c:v>15.567</c:v>
                </c:pt>
                <c:pt idx="28">
                  <c:v>15.567</c:v>
                </c:pt>
                <c:pt idx="29">
                  <c:v>15.567</c:v>
                </c:pt>
                <c:pt idx="30">
                  <c:v>15.567</c:v>
                </c:pt>
                <c:pt idx="31">
                  <c:v>15.567</c:v>
                </c:pt>
                <c:pt idx="32">
                  <c:v>15.567</c:v>
                </c:pt>
                <c:pt idx="33">
                  <c:v>15.567</c:v>
                </c:pt>
                <c:pt idx="34">
                  <c:v>15.567</c:v>
                </c:pt>
                <c:pt idx="35">
                  <c:v>15.567</c:v>
                </c:pt>
                <c:pt idx="36">
                  <c:v>15.567</c:v>
                </c:pt>
                <c:pt idx="37">
                  <c:v>15.567</c:v>
                </c:pt>
                <c:pt idx="38">
                  <c:v>15.567</c:v>
                </c:pt>
                <c:pt idx="39">
                  <c:v>15.567</c:v>
                </c:pt>
                <c:pt idx="40">
                  <c:v>15.567</c:v>
                </c:pt>
                <c:pt idx="41">
                  <c:v>15.567</c:v>
                </c:pt>
                <c:pt idx="42">
                  <c:v>15.567</c:v>
                </c:pt>
                <c:pt idx="43">
                  <c:v>15.567</c:v>
                </c:pt>
                <c:pt idx="44">
                  <c:v>15.567</c:v>
                </c:pt>
                <c:pt idx="45">
                  <c:v>15.567</c:v>
                </c:pt>
                <c:pt idx="46">
                  <c:v>15.567</c:v>
                </c:pt>
                <c:pt idx="47">
                  <c:v>15.567</c:v>
                </c:pt>
                <c:pt idx="48">
                  <c:v>15.567</c:v>
                </c:pt>
                <c:pt idx="49">
                  <c:v>15.567</c:v>
                </c:pt>
                <c:pt idx="50">
                  <c:v>15.567</c:v>
                </c:pt>
                <c:pt idx="51">
                  <c:v>15.5669</c:v>
                </c:pt>
                <c:pt idx="52">
                  <c:v>15.5669</c:v>
                </c:pt>
                <c:pt idx="53">
                  <c:v>15.566800000000001</c:v>
                </c:pt>
                <c:pt idx="54">
                  <c:v>15.566800000000001</c:v>
                </c:pt>
                <c:pt idx="55">
                  <c:v>15.566599999999999</c:v>
                </c:pt>
                <c:pt idx="56">
                  <c:v>15.5664</c:v>
                </c:pt>
                <c:pt idx="57">
                  <c:v>15.5661</c:v>
                </c:pt>
                <c:pt idx="58">
                  <c:v>15.5655</c:v>
                </c:pt>
                <c:pt idx="59">
                  <c:v>15.5647</c:v>
                </c:pt>
                <c:pt idx="60">
                  <c:v>15.5633</c:v>
                </c:pt>
                <c:pt idx="61">
                  <c:v>15.561199999999999</c:v>
                </c:pt>
                <c:pt idx="62">
                  <c:v>15.557700000000001</c:v>
                </c:pt>
                <c:pt idx="63">
                  <c:v>15.5524</c:v>
                </c:pt>
                <c:pt idx="64">
                  <c:v>15.543799999999999</c:v>
                </c:pt>
                <c:pt idx="65">
                  <c:v>15.5303</c:v>
                </c:pt>
                <c:pt idx="66">
                  <c:v>15.509</c:v>
                </c:pt>
                <c:pt idx="67">
                  <c:v>15.4755</c:v>
                </c:pt>
                <c:pt idx="68">
                  <c:v>15.422800000000001</c:v>
                </c:pt>
                <c:pt idx="69">
                  <c:v>15.3406</c:v>
                </c:pt>
                <c:pt idx="70">
                  <c:v>15.2135</c:v>
                </c:pt>
                <c:pt idx="71">
                  <c:v>15.019399999999999</c:v>
                </c:pt>
                <c:pt idx="72">
                  <c:v>14.7286</c:v>
                </c:pt>
                <c:pt idx="73">
                  <c:v>14.3043</c:v>
                </c:pt>
                <c:pt idx="74">
                  <c:v>13.706899999999999</c:v>
                </c:pt>
                <c:pt idx="75">
                  <c:v>12.902200000000001</c:v>
                </c:pt>
                <c:pt idx="76">
                  <c:v>11.871700000000001</c:v>
                </c:pt>
                <c:pt idx="77">
                  <c:v>10.619300000000001</c:v>
                </c:pt>
                <c:pt idx="78">
                  <c:v>9.1699599999999997</c:v>
                </c:pt>
                <c:pt idx="79">
                  <c:v>7.56168</c:v>
                </c:pt>
                <c:pt idx="80">
                  <c:v>5.8350900000000001</c:v>
                </c:pt>
                <c:pt idx="81">
                  <c:v>4.0259200000000002</c:v>
                </c:pt>
                <c:pt idx="82">
                  <c:v>2.1608299999999998</c:v>
                </c:pt>
                <c:pt idx="83">
                  <c:v>0.25484899999999999</c:v>
                </c:pt>
                <c:pt idx="84">
                  <c:v>-1.69154</c:v>
                </c:pt>
                <c:pt idx="85">
                  <c:v>-3.6958500000000001</c:v>
                </c:pt>
                <c:pt idx="86">
                  <c:v>-5.7958299999999996</c:v>
                </c:pt>
                <c:pt idx="87">
                  <c:v>-8.0474899999999998</c:v>
                </c:pt>
                <c:pt idx="88">
                  <c:v>-10.5184</c:v>
                </c:pt>
                <c:pt idx="89">
                  <c:v>-13.277900000000001</c:v>
                </c:pt>
                <c:pt idx="90">
                  <c:v>-16.387499999999999</c:v>
                </c:pt>
                <c:pt idx="91">
                  <c:v>-19.892199999999999</c:v>
                </c:pt>
                <c:pt idx="92">
                  <c:v>-23.8171</c:v>
                </c:pt>
                <c:pt idx="93">
                  <c:v>-28.1647</c:v>
                </c:pt>
                <c:pt idx="94">
                  <c:v>-32.909700000000001</c:v>
                </c:pt>
                <c:pt idx="95">
                  <c:v>-37.980600000000003</c:v>
                </c:pt>
                <c:pt idx="96">
                  <c:v>-43.218299999999999</c:v>
                </c:pt>
                <c:pt idx="97">
                  <c:v>-48.296999999999997</c:v>
                </c:pt>
                <c:pt idx="98">
                  <c:v>-52.6374</c:v>
                </c:pt>
                <c:pt idx="99">
                  <c:v>-55.463500000000003</c:v>
                </c:pt>
                <c:pt idx="100">
                  <c:v>-56.283700000000003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8B-4542-B190-E2340691FF71}"/>
            </c:ext>
          </c:extLst>
        </c:ser>
        <c:ser>
          <c:idx val="5"/>
          <c:order val="5"/>
          <c:tx>
            <c:v>АЧХmax - 3,01, дБ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Лист7!$F$3:$F$4</c:f>
              <c:numCache>
                <c:formatCode>General</c:formatCode>
                <c:ptCount val="2"/>
                <c:pt idx="0">
                  <c:v>1</c:v>
                </c:pt>
                <c:pt idx="1">
                  <c:v>10000000000</c:v>
                </c:pt>
              </c:numCache>
            </c:numRef>
          </c:xVal>
          <c:yVal>
            <c:numRef>
              <c:f>Лист7!$G$3:$G$4</c:f>
              <c:numCache>
                <c:formatCode>General</c:formatCode>
                <c:ptCount val="2"/>
                <c:pt idx="0">
                  <c:v>12.557</c:v>
                </c:pt>
                <c:pt idx="1">
                  <c:v>12.557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8B-4542-B190-E2340691F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483839"/>
        <c:axId val="5322668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АЧХ ОУ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Лист1!$A$1:$A$101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1.258925412</c:v>
                      </c:pt>
                      <c:pt idx="2">
                        <c:v>1.584893192</c:v>
                      </c:pt>
                      <c:pt idx="3">
                        <c:v>1.995262315</c:v>
                      </c:pt>
                      <c:pt idx="4">
                        <c:v>2.5118864319999998</c:v>
                      </c:pt>
                      <c:pt idx="5">
                        <c:v>3.16227766</c:v>
                      </c:pt>
                      <c:pt idx="6">
                        <c:v>3.9810717059999998</c:v>
                      </c:pt>
                      <c:pt idx="7">
                        <c:v>5.0118723359999997</c:v>
                      </c:pt>
                      <c:pt idx="8">
                        <c:v>6.3095734449999998</c:v>
                      </c:pt>
                      <c:pt idx="9">
                        <c:v>7.9432823470000002</c:v>
                      </c:pt>
                      <c:pt idx="10">
                        <c:v>10</c:v>
                      </c:pt>
                      <c:pt idx="11">
                        <c:v>12.58925412</c:v>
                      </c:pt>
                      <c:pt idx="12">
                        <c:v>15.84893192</c:v>
                      </c:pt>
                      <c:pt idx="13">
                        <c:v>19.952623150000001</c:v>
                      </c:pt>
                      <c:pt idx="14">
                        <c:v>25.11886432</c:v>
                      </c:pt>
                      <c:pt idx="15">
                        <c:v>31.622776600000002</c:v>
                      </c:pt>
                      <c:pt idx="16">
                        <c:v>39.810717060000002</c:v>
                      </c:pt>
                      <c:pt idx="17">
                        <c:v>50.118723359999997</c:v>
                      </c:pt>
                      <c:pt idx="18">
                        <c:v>63.095734450000002</c:v>
                      </c:pt>
                      <c:pt idx="19">
                        <c:v>79.432823470000002</c:v>
                      </c:pt>
                      <c:pt idx="20">
                        <c:v>100</c:v>
                      </c:pt>
                      <c:pt idx="21">
                        <c:v>125.8925412</c:v>
                      </c:pt>
                      <c:pt idx="22">
                        <c:v>158.48931920000001</c:v>
                      </c:pt>
                      <c:pt idx="23">
                        <c:v>199.52623149999999</c:v>
                      </c:pt>
                      <c:pt idx="24">
                        <c:v>251.1886432</c:v>
                      </c:pt>
                      <c:pt idx="25">
                        <c:v>316.22776599999997</c:v>
                      </c:pt>
                      <c:pt idx="26">
                        <c:v>398.10717060000002</c:v>
                      </c:pt>
                      <c:pt idx="27">
                        <c:v>501.18723360000001</c:v>
                      </c:pt>
                      <c:pt idx="28">
                        <c:v>630.95734449999998</c:v>
                      </c:pt>
                      <c:pt idx="29">
                        <c:v>794.32823470000005</c:v>
                      </c:pt>
                      <c:pt idx="30">
                        <c:v>1000</c:v>
                      </c:pt>
                      <c:pt idx="31">
                        <c:v>1258.9254120000001</c:v>
                      </c:pt>
                      <c:pt idx="32">
                        <c:v>1584.893192</c:v>
                      </c:pt>
                      <c:pt idx="33">
                        <c:v>1995.2623149999999</c:v>
                      </c:pt>
                      <c:pt idx="34">
                        <c:v>2511.8864319999998</c:v>
                      </c:pt>
                      <c:pt idx="35">
                        <c:v>3162.2776600000002</c:v>
                      </c:pt>
                      <c:pt idx="36">
                        <c:v>3981.0717060000002</c:v>
                      </c:pt>
                      <c:pt idx="37">
                        <c:v>5011.8723360000004</c:v>
                      </c:pt>
                      <c:pt idx="38">
                        <c:v>6309.573445</c:v>
                      </c:pt>
                      <c:pt idx="39">
                        <c:v>7943.2823470000003</c:v>
                      </c:pt>
                      <c:pt idx="40">
                        <c:v>10000</c:v>
                      </c:pt>
                      <c:pt idx="41">
                        <c:v>12589.25412</c:v>
                      </c:pt>
                      <c:pt idx="42">
                        <c:v>15848.931920000001</c:v>
                      </c:pt>
                      <c:pt idx="43">
                        <c:v>19952.623149999999</c:v>
                      </c:pt>
                      <c:pt idx="44">
                        <c:v>25118.864320000001</c:v>
                      </c:pt>
                      <c:pt idx="45">
                        <c:v>31622.776600000001</c:v>
                      </c:pt>
                      <c:pt idx="46">
                        <c:v>39810.717060000003</c:v>
                      </c:pt>
                      <c:pt idx="47">
                        <c:v>50118.723360000004</c:v>
                      </c:pt>
                      <c:pt idx="48">
                        <c:v>63095.734450000004</c:v>
                      </c:pt>
                      <c:pt idx="49">
                        <c:v>79432.823470000003</c:v>
                      </c:pt>
                      <c:pt idx="50">
                        <c:v>100000</c:v>
                      </c:pt>
                      <c:pt idx="51">
                        <c:v>125892.54120000001</c:v>
                      </c:pt>
                      <c:pt idx="52">
                        <c:v>158489.3192</c:v>
                      </c:pt>
                      <c:pt idx="53">
                        <c:v>199526.23149999999</c:v>
                      </c:pt>
                      <c:pt idx="54">
                        <c:v>251188.64319999999</c:v>
                      </c:pt>
                      <c:pt idx="55">
                        <c:v>316227.766</c:v>
                      </c:pt>
                      <c:pt idx="56">
                        <c:v>398107.17060000001</c:v>
                      </c:pt>
                      <c:pt idx="57">
                        <c:v>501187.23359999998</c:v>
                      </c:pt>
                      <c:pt idx="58">
                        <c:v>630957.34450000001</c:v>
                      </c:pt>
                      <c:pt idx="59">
                        <c:v>794328.23470000003</c:v>
                      </c:pt>
                      <c:pt idx="60">
                        <c:v>1000000</c:v>
                      </c:pt>
                      <c:pt idx="61">
                        <c:v>1258925.412</c:v>
                      </c:pt>
                      <c:pt idx="62">
                        <c:v>1584893.192</c:v>
                      </c:pt>
                      <c:pt idx="63">
                        <c:v>1995262.3149999999</c:v>
                      </c:pt>
                      <c:pt idx="64">
                        <c:v>2511886.432</c:v>
                      </c:pt>
                      <c:pt idx="65">
                        <c:v>3162277.66</c:v>
                      </c:pt>
                      <c:pt idx="66">
                        <c:v>3981071.7059999998</c:v>
                      </c:pt>
                      <c:pt idx="67">
                        <c:v>5011872.3360000001</c:v>
                      </c:pt>
                      <c:pt idx="68">
                        <c:v>6309573.4450000003</c:v>
                      </c:pt>
                      <c:pt idx="69">
                        <c:v>7943282.3470000001</c:v>
                      </c:pt>
                      <c:pt idx="70">
                        <c:v>10000000</c:v>
                      </c:pt>
                      <c:pt idx="71">
                        <c:v>12589254.119999999</c:v>
                      </c:pt>
                      <c:pt idx="72">
                        <c:v>15848931.92</c:v>
                      </c:pt>
                      <c:pt idx="73">
                        <c:v>19952623.149999999</c:v>
                      </c:pt>
                      <c:pt idx="74">
                        <c:v>25118864.32</c:v>
                      </c:pt>
                      <c:pt idx="75">
                        <c:v>31622776.600000001</c:v>
                      </c:pt>
                      <c:pt idx="76">
                        <c:v>39810717.060000002</c:v>
                      </c:pt>
                      <c:pt idx="77">
                        <c:v>50118723.359999999</c:v>
                      </c:pt>
                      <c:pt idx="78">
                        <c:v>63095734.450000003</c:v>
                      </c:pt>
                      <c:pt idx="79">
                        <c:v>79432823.469999999</c:v>
                      </c:pt>
                      <c:pt idx="80">
                        <c:v>100000000</c:v>
                      </c:pt>
                      <c:pt idx="81">
                        <c:v>125892541.2</c:v>
                      </c:pt>
                      <c:pt idx="82">
                        <c:v>158489319.19999999</c:v>
                      </c:pt>
                      <c:pt idx="83">
                        <c:v>199526231.5</c:v>
                      </c:pt>
                      <c:pt idx="84">
                        <c:v>251188643.19999999</c:v>
                      </c:pt>
                      <c:pt idx="85">
                        <c:v>316227766</c:v>
                      </c:pt>
                      <c:pt idx="86">
                        <c:v>398107170.60000002</c:v>
                      </c:pt>
                      <c:pt idx="87">
                        <c:v>501187233.60000002</c:v>
                      </c:pt>
                      <c:pt idx="88">
                        <c:v>630957344.5</c:v>
                      </c:pt>
                      <c:pt idx="89">
                        <c:v>794328234.70000005</c:v>
                      </c:pt>
                      <c:pt idx="90">
                        <c:v>1000000000</c:v>
                      </c:pt>
                      <c:pt idx="91">
                        <c:v>1258925412</c:v>
                      </c:pt>
                      <c:pt idx="92">
                        <c:v>1584893192</c:v>
                      </c:pt>
                      <c:pt idx="93">
                        <c:v>1995262315</c:v>
                      </c:pt>
                      <c:pt idx="94">
                        <c:v>2511886432</c:v>
                      </c:pt>
                      <c:pt idx="95">
                        <c:v>3162277660</c:v>
                      </c:pt>
                      <c:pt idx="96">
                        <c:v>3981071706</c:v>
                      </c:pt>
                      <c:pt idx="97">
                        <c:v>5011872336</c:v>
                      </c:pt>
                      <c:pt idx="98">
                        <c:v>6309573445</c:v>
                      </c:pt>
                      <c:pt idx="99">
                        <c:v>7943282347</c:v>
                      </c:pt>
                      <c:pt idx="100" formatCode="0.00E+00">
                        <c:v>10000000000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Лист1!$B$1:$B$101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82.397999999999996</c:v>
                      </c:pt>
                      <c:pt idx="1">
                        <c:v>82.397999999999996</c:v>
                      </c:pt>
                      <c:pt idx="2">
                        <c:v>82.397999999999996</c:v>
                      </c:pt>
                      <c:pt idx="3">
                        <c:v>82.397999999999996</c:v>
                      </c:pt>
                      <c:pt idx="4">
                        <c:v>82.397999999999996</c:v>
                      </c:pt>
                      <c:pt idx="5">
                        <c:v>82.397999999999996</c:v>
                      </c:pt>
                      <c:pt idx="6">
                        <c:v>82.397999999999996</c:v>
                      </c:pt>
                      <c:pt idx="7">
                        <c:v>82.397999999999996</c:v>
                      </c:pt>
                      <c:pt idx="8">
                        <c:v>82.397999999999996</c:v>
                      </c:pt>
                      <c:pt idx="9">
                        <c:v>82.397999999999996</c:v>
                      </c:pt>
                      <c:pt idx="10">
                        <c:v>82.397999999999996</c:v>
                      </c:pt>
                      <c:pt idx="11">
                        <c:v>82.397999999999996</c:v>
                      </c:pt>
                      <c:pt idx="12">
                        <c:v>82.397999999999996</c:v>
                      </c:pt>
                      <c:pt idx="13">
                        <c:v>82.397999999999996</c:v>
                      </c:pt>
                      <c:pt idx="14">
                        <c:v>82.397999999999996</c:v>
                      </c:pt>
                      <c:pt idx="15">
                        <c:v>82.397900000000007</c:v>
                      </c:pt>
                      <c:pt idx="16">
                        <c:v>82.397900000000007</c:v>
                      </c:pt>
                      <c:pt idx="17">
                        <c:v>82.397900000000007</c:v>
                      </c:pt>
                      <c:pt idx="18">
                        <c:v>82.397900000000007</c:v>
                      </c:pt>
                      <c:pt idx="19">
                        <c:v>82.397900000000007</c:v>
                      </c:pt>
                      <c:pt idx="20">
                        <c:v>82.397800000000004</c:v>
                      </c:pt>
                      <c:pt idx="21">
                        <c:v>82.397800000000004</c:v>
                      </c:pt>
                      <c:pt idx="22">
                        <c:v>82.397599999999997</c:v>
                      </c:pt>
                      <c:pt idx="23">
                        <c:v>82.397400000000005</c:v>
                      </c:pt>
                      <c:pt idx="24">
                        <c:v>82.397099999999995</c:v>
                      </c:pt>
                      <c:pt idx="25">
                        <c:v>82.396699999999996</c:v>
                      </c:pt>
                      <c:pt idx="26">
                        <c:v>82.395899999999997</c:v>
                      </c:pt>
                      <c:pt idx="27">
                        <c:v>82.3947</c:v>
                      </c:pt>
                      <c:pt idx="28">
                        <c:v>82.392799999999994</c:v>
                      </c:pt>
                      <c:pt idx="29">
                        <c:v>82.389799999999994</c:v>
                      </c:pt>
                      <c:pt idx="30">
                        <c:v>82.385000000000005</c:v>
                      </c:pt>
                      <c:pt idx="31">
                        <c:v>82.377399999999994</c:v>
                      </c:pt>
                      <c:pt idx="32">
                        <c:v>82.365499999999997</c:v>
                      </c:pt>
                      <c:pt idx="33">
                        <c:v>82.346599999999995</c:v>
                      </c:pt>
                      <c:pt idx="34">
                        <c:v>82.316800000000001</c:v>
                      </c:pt>
                      <c:pt idx="35">
                        <c:v>82.270099999999999</c:v>
                      </c:pt>
                      <c:pt idx="36">
                        <c:v>82.197000000000003</c:v>
                      </c:pt>
                      <c:pt idx="37">
                        <c:v>82.083600000000004</c:v>
                      </c:pt>
                      <c:pt idx="38">
                        <c:v>81.909800000000004</c:v>
                      </c:pt>
                      <c:pt idx="39">
                        <c:v>81.647800000000004</c:v>
                      </c:pt>
                      <c:pt idx="40">
                        <c:v>81.262500000000003</c:v>
                      </c:pt>
                      <c:pt idx="41">
                        <c:v>80.714200000000005</c:v>
                      </c:pt>
                      <c:pt idx="42">
                        <c:v>79.966099999999997</c:v>
                      </c:pt>
                      <c:pt idx="43">
                        <c:v>78.994299999999996</c:v>
                      </c:pt>
                      <c:pt idx="44">
                        <c:v>77.795900000000003</c:v>
                      </c:pt>
                      <c:pt idx="45">
                        <c:v>76.390199999999993</c:v>
                      </c:pt>
                      <c:pt idx="46">
                        <c:v>74.811899999999994</c:v>
                      </c:pt>
                      <c:pt idx="47">
                        <c:v>73.100700000000003</c:v>
                      </c:pt>
                      <c:pt idx="48">
                        <c:v>71.293300000000002</c:v>
                      </c:pt>
                      <c:pt idx="49">
                        <c:v>69.419399999999996</c:v>
                      </c:pt>
                      <c:pt idx="50">
                        <c:v>67.500900000000001</c:v>
                      </c:pt>
                      <c:pt idx="51">
                        <c:v>65.553100000000001</c:v>
                      </c:pt>
                      <c:pt idx="52">
                        <c:v>63.586399999999998</c:v>
                      </c:pt>
                      <c:pt idx="53">
                        <c:v>61.607500000000002</c:v>
                      </c:pt>
                      <c:pt idx="54">
                        <c:v>59.620899999999999</c:v>
                      </c:pt>
                      <c:pt idx="55">
                        <c:v>57.629399999999997</c:v>
                      </c:pt>
                      <c:pt idx="56">
                        <c:v>55.634700000000002</c:v>
                      </c:pt>
                      <c:pt idx="57">
                        <c:v>53.638100000000001</c:v>
                      </c:pt>
                      <c:pt idx="58">
                        <c:v>51.6402</c:v>
                      </c:pt>
                      <c:pt idx="59">
                        <c:v>49.641599999999997</c:v>
                      </c:pt>
                      <c:pt idx="60">
                        <c:v>47.642400000000002</c:v>
                      </c:pt>
                      <c:pt idx="61">
                        <c:v>45.642899999999997</c:v>
                      </c:pt>
                      <c:pt idx="62">
                        <c:v>43.643300000000004</c:v>
                      </c:pt>
                      <c:pt idx="63">
                        <c:v>41.643500000000003</c:v>
                      </c:pt>
                      <c:pt idx="64">
                        <c:v>39.643599999999999</c:v>
                      </c:pt>
                      <c:pt idx="65">
                        <c:v>37.643700000000003</c:v>
                      </c:pt>
                      <c:pt idx="66">
                        <c:v>35.643700000000003</c:v>
                      </c:pt>
                      <c:pt idx="67">
                        <c:v>33.643700000000003</c:v>
                      </c:pt>
                      <c:pt idx="68">
                        <c:v>31.643599999999999</c:v>
                      </c:pt>
                      <c:pt idx="69">
                        <c:v>29.6435</c:v>
                      </c:pt>
                      <c:pt idx="70">
                        <c:v>27.6433</c:v>
                      </c:pt>
                      <c:pt idx="71">
                        <c:v>25.642900000000001</c:v>
                      </c:pt>
                      <c:pt idx="72">
                        <c:v>23.642299999999999</c:v>
                      </c:pt>
                      <c:pt idx="73">
                        <c:v>21.641500000000001</c:v>
                      </c:pt>
                      <c:pt idx="74">
                        <c:v>19.6401</c:v>
                      </c:pt>
                      <c:pt idx="75">
                        <c:v>17.637799999999999</c:v>
                      </c:pt>
                      <c:pt idx="76">
                        <c:v>15.6343</c:v>
                      </c:pt>
                      <c:pt idx="77">
                        <c:v>13.6288</c:v>
                      </c:pt>
                      <c:pt idx="78">
                        <c:v>11.62</c:v>
                      </c:pt>
                      <c:pt idx="79">
                        <c:v>9.6060099999999995</c:v>
                      </c:pt>
                      <c:pt idx="80">
                        <c:v>7.58399</c:v>
                      </c:pt>
                      <c:pt idx="81">
                        <c:v>5.5492800000000004</c:v>
                      </c:pt>
                      <c:pt idx="82">
                        <c:v>3.49472</c:v>
                      </c:pt>
                      <c:pt idx="83">
                        <c:v>1.40934</c:v>
                      </c:pt>
                      <c:pt idx="84">
                        <c:v>-0.72330000000000005</c:v>
                      </c:pt>
                      <c:pt idx="85">
                        <c:v>-2.9272399999999998</c:v>
                      </c:pt>
                      <c:pt idx="86">
                        <c:v>-5.2360800000000003</c:v>
                      </c:pt>
                      <c:pt idx="87">
                        <c:v>-7.6940799999999996</c:v>
                      </c:pt>
                      <c:pt idx="88">
                        <c:v>-10.354900000000001</c:v>
                      </c:pt>
                      <c:pt idx="89">
                        <c:v>-13.277200000000001</c:v>
                      </c:pt>
                      <c:pt idx="90">
                        <c:v>-16.517199999999999</c:v>
                      </c:pt>
                      <c:pt idx="91">
                        <c:v>-20.121099999999998</c:v>
                      </c:pt>
                      <c:pt idx="92">
                        <c:v>-24.121400000000001</c:v>
                      </c:pt>
                      <c:pt idx="93">
                        <c:v>-28.535399999999999</c:v>
                      </c:pt>
                      <c:pt idx="94">
                        <c:v>-33.365900000000003</c:v>
                      </c:pt>
                      <c:pt idx="95">
                        <c:v>-38.603400000000001</c:v>
                      </c:pt>
                      <c:pt idx="96">
                        <c:v>-44.2301</c:v>
                      </c:pt>
                      <c:pt idx="97">
                        <c:v>-50.226700000000001</c:v>
                      </c:pt>
                      <c:pt idx="98">
                        <c:v>-56.575800000000001</c:v>
                      </c:pt>
                      <c:pt idx="99">
                        <c:v>-63.258499999999998</c:v>
                      </c:pt>
                      <c:pt idx="100">
                        <c:v>-70.247699999999995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78B-4542-B190-E2340691FF7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АЧХ ОУ = 79,388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Лист1!$V$5:$V$6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10000000000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Лист1!$W$5:$W$6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79.387999999999991</c:v>
                      </c:pt>
                      <c:pt idx="1">
                        <c:v>79.387999999999991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78B-4542-B190-E2340691FF7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-20 дБ/дек</c:v>
                </c:tx>
                <c:spPr>
                  <a:ln w="19050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Лист1!$V$10:$V$14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100000</c:v>
                      </c:pt>
                      <c:pt idx="2">
                        <c:v>1000000</c:v>
                      </c:pt>
                      <c:pt idx="3">
                        <c:v>10000000</c:v>
                      </c:pt>
                      <c:pt idx="4">
                        <c:v>100000000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Лист1!$W$10:$W$14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87.500900000000001</c:v>
                      </c:pt>
                      <c:pt idx="1">
                        <c:v>67.500900000000001</c:v>
                      </c:pt>
                      <c:pt idx="2">
                        <c:v>47.642400000000002</c:v>
                      </c:pt>
                      <c:pt idx="3">
                        <c:v>27.6433</c:v>
                      </c:pt>
                      <c:pt idx="4">
                        <c:v>7.58399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78B-4542-B190-E2340691FF7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-40 дБ/дек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Лист7!$V$25:$V$26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 formatCode="0.00E+00">
                        <c:v>10000000000</c:v>
                      </c:pt>
                      <c:pt idx="1">
                        <c:v>2400000000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Лист7!$W$25:$W$26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-70.247699999999995</c:v>
                      </c:pt>
                      <c:pt idx="1">
                        <c:v>-30.247699999999995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78B-4542-B190-E2340691FF71}"/>
                  </c:ext>
                </c:extLst>
              </c15:ser>
            </c15:filteredScatterSeries>
          </c:ext>
        </c:extLst>
      </c:scatterChart>
      <c:valAx>
        <c:axId val="537483839"/>
        <c:scaling>
          <c:orientation val="minMax"/>
          <c:max val="60000000"/>
          <c:min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66895"/>
        <c:crosses val="autoZero"/>
        <c:crossBetween val="midCat"/>
        <c:majorUnit val="5000000"/>
      </c:valAx>
      <c:valAx>
        <c:axId val="532266895"/>
        <c:scaling>
          <c:orientation val="minMax"/>
          <c:max val="16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48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083524968595043"/>
          <c:y val="0.17114626128859525"/>
          <c:w val="0.15913646443138085"/>
          <c:h val="0.216387642780768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486995</xdr:colOff>
      <xdr:row>0</xdr:row>
      <xdr:rowOff>177800</xdr:rowOff>
    </xdr:from>
    <xdr:to>
      <xdr:col>18</xdr:col>
      <xdr:colOff>241300</xdr:colOff>
      <xdr:row>30</xdr:row>
      <xdr:rowOff>185738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4F15B20-DAEA-49D8-9806-79EF345CA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152400</xdr:colOff>
      <xdr:row>2</xdr:row>
      <xdr:rowOff>101600</xdr:rowOff>
    </xdr:from>
    <xdr:ext cx="639534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67CCFC-52C4-443B-96CF-C1D4BBE20E67}"/>
            </a:ext>
          </a:extLst>
        </xdr:cNvPr>
        <xdr:cNvSpPr txBox="1"/>
      </xdr:nvSpPr>
      <xdr:spPr>
        <a:xfrm>
          <a:off x="2590800" y="482600"/>
          <a:ext cx="639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АЧХ, дБ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0.89916</cdr:x>
      <cdr:y>0.49043</cdr:y>
    </cdr:from>
    <cdr:to>
      <cdr:x>0.94768</cdr:x>
      <cdr:y>0.53666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FE67CCFC-52C4-443B-96CF-C1D4BBE20E67}"/>
            </a:ext>
          </a:extLst>
        </cdr:cNvPr>
        <cdr:cNvSpPr txBox="1"/>
      </cdr:nvSpPr>
      <cdr:spPr>
        <a:xfrm xmlns:a="http://schemas.openxmlformats.org/drawingml/2006/main">
          <a:off x="8001000" y="2806700"/>
          <a:ext cx="43172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f</a:t>
          </a:r>
          <a:r>
            <a:rPr lang="en-US" sz="1100"/>
            <a:t>,</a:t>
          </a:r>
          <a:r>
            <a:rPr lang="en-US" sz="1100" baseline="0"/>
            <a:t> </a:t>
          </a:r>
          <a:r>
            <a:rPr lang="ru-RU" sz="1100" baseline="0"/>
            <a:t>Гц</a:t>
          </a:r>
          <a:endParaRPr lang="ru-RU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295274</xdr:colOff>
      <xdr:row>5</xdr:row>
      <xdr:rowOff>180975</xdr:rowOff>
    </xdr:from>
    <xdr:to>
      <xdr:col>12</xdr:col>
      <xdr:colOff>409575</xdr:colOff>
      <xdr:row>31</xdr:row>
      <xdr:rowOff>19049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2C206D-75A7-4E48-8119-203523957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333374</xdr:colOff>
      <xdr:row>0</xdr:row>
      <xdr:rowOff>171450</xdr:rowOff>
    </xdr:from>
    <xdr:to>
      <xdr:col>17</xdr:col>
      <xdr:colOff>171449</xdr:colOff>
      <xdr:row>22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2FE802-80BD-44F1-B037-95CEECEB8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0.03348</cdr:x>
      <cdr:y>0</cdr:y>
    </cdr:from>
    <cdr:to>
      <cdr:x>0.17322</cdr:x>
      <cdr:y>0.08447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EC5D67-8582-4802-91D3-E3A2796E7C20}"/>
            </a:ext>
          </a:extLst>
        </cdr:cNvPr>
        <cdr:cNvSpPr txBox="1"/>
      </cdr:nvSpPr>
      <cdr:spPr>
        <a:xfrm xmlns:a="http://schemas.openxmlformats.org/drawingml/2006/main">
          <a:off x="219076" y="0"/>
          <a:ext cx="914400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/>
            <a:t>U</a:t>
          </a:r>
          <a:r>
            <a:rPr lang="ru-RU" sz="1200"/>
            <a:t>вых</a:t>
          </a:r>
          <a:r>
            <a:rPr lang="ru-RU" sz="1600"/>
            <a:t>, В</a:t>
          </a:r>
        </a:p>
      </cdr:txBody>
    </cdr:sp>
  </cdr:relSizeAnchor>
  <cdr:relSizeAnchor xmlns:cdr="http://schemas.openxmlformats.org/drawingml/2006/chartDrawing">
    <cdr:from>
      <cdr:x>0.86026</cdr:x>
      <cdr:y>0.54186</cdr:y>
    </cdr:from>
    <cdr:to>
      <cdr:x>1</cdr:x>
      <cdr:y>0.62633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FB2C41E-E097-4EB1-BDF3-7757076B223E}"/>
            </a:ext>
          </a:extLst>
        </cdr:cNvPr>
        <cdr:cNvSpPr txBox="1"/>
      </cdr:nvSpPr>
      <cdr:spPr>
        <a:xfrm xmlns:a="http://schemas.openxmlformats.org/drawingml/2006/main">
          <a:off x="5629275" y="2260600"/>
          <a:ext cx="914400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U</a:t>
          </a:r>
          <a:r>
            <a:rPr lang="ru-RU" sz="1200"/>
            <a:t>вх</a:t>
          </a:r>
          <a:r>
            <a:rPr lang="ru-RU" sz="1600"/>
            <a:t>, В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333374</xdr:colOff>
      <xdr:row>0</xdr:row>
      <xdr:rowOff>171450</xdr:rowOff>
    </xdr:from>
    <xdr:to>
      <xdr:col>17</xdr:col>
      <xdr:colOff>171449</xdr:colOff>
      <xdr:row>22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1C6869C-B8DB-4B46-9F7F-D04F0CDED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0.03348</cdr:x>
      <cdr:y>0</cdr:y>
    </cdr:from>
    <cdr:to>
      <cdr:x>0.17322</cdr:x>
      <cdr:y>0.08447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EC5D67-8582-4802-91D3-E3A2796E7C20}"/>
            </a:ext>
          </a:extLst>
        </cdr:cNvPr>
        <cdr:cNvSpPr txBox="1"/>
      </cdr:nvSpPr>
      <cdr:spPr>
        <a:xfrm xmlns:a="http://schemas.openxmlformats.org/drawingml/2006/main">
          <a:off x="219076" y="0"/>
          <a:ext cx="914400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/>
            <a:t>U</a:t>
          </a:r>
          <a:r>
            <a:rPr lang="ru-RU" sz="1200"/>
            <a:t>вых</a:t>
          </a:r>
          <a:r>
            <a:rPr lang="ru-RU" sz="1600"/>
            <a:t>, В</a:t>
          </a:r>
        </a:p>
      </cdr:txBody>
    </cdr:sp>
  </cdr:relSizeAnchor>
  <cdr:relSizeAnchor xmlns:cdr="http://schemas.openxmlformats.org/drawingml/2006/chartDrawing">
    <cdr:from>
      <cdr:x>0.86026</cdr:x>
      <cdr:y>0.54186</cdr:y>
    </cdr:from>
    <cdr:to>
      <cdr:x>1</cdr:x>
      <cdr:y>0.62633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FB2C41E-E097-4EB1-BDF3-7757076B223E}"/>
            </a:ext>
          </a:extLst>
        </cdr:cNvPr>
        <cdr:cNvSpPr txBox="1"/>
      </cdr:nvSpPr>
      <cdr:spPr>
        <a:xfrm xmlns:a="http://schemas.openxmlformats.org/drawingml/2006/main">
          <a:off x="5629275" y="2260600"/>
          <a:ext cx="914400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U</a:t>
          </a:r>
          <a:r>
            <a:rPr lang="ru-RU" sz="1200"/>
            <a:t>вх</a:t>
          </a:r>
          <a:r>
            <a:rPr lang="ru-RU" sz="1600"/>
            <a:t>, В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3</xdr:row>
      <xdr:rowOff>109537</xdr:rowOff>
    </xdr:from>
    <xdr:to>
      <xdr:col>16</xdr:col>
      <xdr:colOff>571500</xdr:colOff>
      <xdr:row>23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7D58C98-E0D4-49E7-813A-1B059F121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3</xdr:row>
      <xdr:rowOff>109537</xdr:rowOff>
    </xdr:from>
    <xdr:to>
      <xdr:col>16</xdr:col>
      <xdr:colOff>571500</xdr:colOff>
      <xdr:row>23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253ED88-4E76-41E3-B7BE-72CDDB0E6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161925</xdr:rowOff>
    </xdr:from>
    <xdr:to>
      <xdr:col>20</xdr:col>
      <xdr:colOff>139457</xdr:colOff>
      <xdr:row>32</xdr:row>
      <xdr:rowOff>8427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D22C165-174D-4F0D-B968-9C7729D68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8</xdr:row>
      <xdr:rowOff>104775</xdr:rowOff>
    </xdr:from>
    <xdr:to>
      <xdr:col>16</xdr:col>
      <xdr:colOff>200025</xdr:colOff>
      <xdr:row>40</xdr:row>
      <xdr:rowOff>122727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4D47AB-A99D-4B60-97C8-8E588C409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</xdr:row>
      <xdr:rowOff>76200</xdr:rowOff>
    </xdr:from>
    <xdr:to>
      <xdr:col>13</xdr:col>
      <xdr:colOff>276225</xdr:colOff>
      <xdr:row>27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5BA6076-18AD-498E-9EBA-D01D98D2C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0.0165</cdr:x>
      <cdr:y>0</cdr:y>
    </cdr:from>
    <cdr:to>
      <cdr:x>0.15624</cdr:x>
      <cdr:y>0.07226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A085D57-6840-402A-A2C4-3E1EBD729903}"/>
            </a:ext>
          </a:extLst>
        </cdr:cNvPr>
        <cdr:cNvSpPr txBox="1"/>
      </cdr:nvSpPr>
      <cdr:spPr>
        <a:xfrm xmlns:a="http://schemas.openxmlformats.org/drawingml/2006/main">
          <a:off x="107950" y="0"/>
          <a:ext cx="914413" cy="3524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/>
            <a:t>АЧХ,</a:t>
          </a:r>
          <a:r>
            <a:rPr lang="ru-RU" sz="1600" baseline="0"/>
            <a:t> дБ</a:t>
          </a:r>
          <a:endParaRPr lang="ru-RU" sz="1600"/>
        </a:p>
      </cdr:txBody>
    </cdr:sp>
  </cdr:relSizeAnchor>
  <cdr:relSizeAnchor xmlns:cdr="http://schemas.openxmlformats.org/drawingml/2006/chartDrawing">
    <cdr:from>
      <cdr:x>0.86026</cdr:x>
      <cdr:y>0.24479</cdr:y>
    </cdr:from>
    <cdr:to>
      <cdr:x>1</cdr:x>
      <cdr:y>0.31705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314E634C-20D9-41D9-BCF5-AE5ACFFF1A42}"/>
            </a:ext>
          </a:extLst>
        </cdr:cNvPr>
        <cdr:cNvSpPr txBox="1"/>
      </cdr:nvSpPr>
      <cdr:spPr>
        <a:xfrm xmlns:a="http://schemas.openxmlformats.org/drawingml/2006/main">
          <a:off x="5629262" y="1193800"/>
          <a:ext cx="914413" cy="3524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i="1"/>
            <a:t>f</a:t>
          </a:r>
          <a:r>
            <a:rPr lang="en-US" sz="1600"/>
            <a:t>,</a:t>
          </a:r>
          <a:r>
            <a:rPr lang="en-US" sz="1600" baseline="0"/>
            <a:t> </a:t>
          </a:r>
          <a:r>
            <a:rPr lang="ru-RU" sz="1600" baseline="0"/>
            <a:t>Гц</a:t>
          </a:r>
          <a:endParaRPr lang="ru-RU" sz="1600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253757</xdr:colOff>
      <xdr:row>31</xdr:row>
      <xdr:rowOff>37002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CD9D4E3-E1FF-4E5C-8163-4A2D8231C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2</xdr:row>
      <xdr:rowOff>123825</xdr:rowOff>
    </xdr:from>
    <xdr:to>
      <xdr:col>13</xdr:col>
      <xdr:colOff>123825</xdr:colOff>
      <xdr:row>32</xdr:row>
      <xdr:rowOff>71438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B0E89D4-0E5B-4760-8CB9-68399C992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0.03451</cdr:x>
      <cdr:y>0.01738</cdr:y>
    </cdr:from>
    <cdr:to>
      <cdr:x>0.12251</cdr:x>
      <cdr:y>0.0641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CA37077-C9EA-4A78-B721-28B359509835}"/>
            </a:ext>
          </a:extLst>
        </cdr:cNvPr>
        <cdr:cNvSpPr txBox="1"/>
      </cdr:nvSpPr>
      <cdr:spPr>
        <a:xfrm xmlns:a="http://schemas.openxmlformats.org/drawingml/2006/main">
          <a:off x="250825" y="98425"/>
          <a:ext cx="639534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АЧХ, дБ</a:t>
          </a:r>
        </a:p>
      </cdr:txBody>
    </cdr:sp>
  </cdr:relSizeAnchor>
  <cdr:relSizeAnchor xmlns:cdr="http://schemas.openxmlformats.org/drawingml/2006/chartDrawing">
    <cdr:from>
      <cdr:x>0.92442</cdr:x>
      <cdr:y>0.92234</cdr:y>
    </cdr:from>
    <cdr:to>
      <cdr:x>0.98382</cdr:x>
      <cdr:y>0.96906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7B12779-4075-4625-A61C-C264DB919E36}"/>
            </a:ext>
          </a:extLst>
        </cdr:cNvPr>
        <cdr:cNvSpPr txBox="1"/>
      </cdr:nvSpPr>
      <cdr:spPr>
        <a:xfrm xmlns:a="http://schemas.openxmlformats.org/drawingml/2006/main">
          <a:off x="6718300" y="5222875"/>
          <a:ext cx="43172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f</a:t>
          </a:r>
          <a:r>
            <a:rPr lang="en-US" sz="1100"/>
            <a:t>,</a:t>
          </a:r>
          <a:r>
            <a:rPr lang="en-US" sz="1100" baseline="0"/>
            <a:t> </a:t>
          </a:r>
          <a:r>
            <a:rPr lang="ru-RU" sz="1100"/>
            <a:t>Гц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1</xdr:row>
      <xdr:rowOff>47625</xdr:rowOff>
    </xdr:from>
    <xdr:to>
      <xdr:col>15</xdr:col>
      <xdr:colOff>66676</xdr:colOff>
      <xdr:row>29</xdr:row>
      <xdr:rowOff>61913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4A982B6-7B9E-4E16-B064-FB4E9B190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0.03568</cdr:x>
      <cdr:y>0.01662</cdr:y>
    </cdr:from>
    <cdr:to>
      <cdr:x>0.12666</cdr:x>
      <cdr:y>0.06609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FE67CCFC-52C4-443B-96CF-C1D4BBE20E67}"/>
            </a:ext>
          </a:extLst>
        </cdr:cNvPr>
        <cdr:cNvSpPr txBox="1"/>
      </cdr:nvSpPr>
      <cdr:spPr>
        <a:xfrm xmlns:a="http://schemas.openxmlformats.org/drawingml/2006/main">
          <a:off x="250825" y="88900"/>
          <a:ext cx="639534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АЧХ, дБ</a:t>
          </a:r>
        </a:p>
      </cdr:txBody>
    </cdr:sp>
  </cdr:relSizeAnchor>
  <cdr:relSizeAnchor xmlns:cdr="http://schemas.openxmlformats.org/drawingml/2006/chartDrawing">
    <cdr:from>
      <cdr:x>0.87579</cdr:x>
      <cdr:y>0.45295</cdr:y>
    </cdr:from>
    <cdr:to>
      <cdr:x>0.93721</cdr:x>
      <cdr:y>0.50242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E67CCFC-52C4-443B-96CF-C1D4BBE20E67}"/>
            </a:ext>
          </a:extLst>
        </cdr:cNvPr>
        <cdr:cNvSpPr txBox="1"/>
      </cdr:nvSpPr>
      <cdr:spPr>
        <a:xfrm xmlns:a="http://schemas.openxmlformats.org/drawingml/2006/main">
          <a:off x="6156325" y="2422525"/>
          <a:ext cx="43172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f</a:t>
          </a:r>
          <a:r>
            <a:rPr lang="en-US" sz="1100"/>
            <a:t>,</a:t>
          </a:r>
          <a:r>
            <a:rPr lang="en-US" sz="1100" baseline="0"/>
            <a:t> </a:t>
          </a:r>
          <a:r>
            <a:rPr lang="ru-RU" sz="1100"/>
            <a:t>Гц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</xdr:row>
      <xdr:rowOff>9524</xdr:rowOff>
    </xdr:from>
    <xdr:to>
      <xdr:col>15</xdr:col>
      <xdr:colOff>200024</xdr:colOff>
      <xdr:row>31</xdr:row>
      <xdr:rowOff>76199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01A2D61-19C0-431B-87CF-B3033756F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zoomScale="75" zoomScaleNormal="75" workbookViewId="0">
      <selection activeCell="V21" sqref="V21"/>
    </sheetView>
  </sheetViews>
  <sheetFormatPr defaultRowHeight="15" x14ac:dyDescent="0.25"/>
  <cols>
    <col min="22" max="22" width="20" customWidth="1"/>
    <col min="25" max="25" width="13.28515625" customWidth="1"/>
    <col min="26" max="26" width="11.7109375" customWidth="1"/>
  </cols>
  <sheetData>
    <row r="1" spans="1:29" x14ac:dyDescent="0.25">
      <c r="A1">
        <v>1</v>
      </c>
      <c r="B1">
        <v>82.397999999999996</v>
      </c>
    </row>
    <row r="2" spans="1:29" x14ac:dyDescent="0.25">
      <c r="A2">
        <v>1.258925412</v>
      </c>
      <c r="B2">
        <v>82.397999999999996</v>
      </c>
      <c r="X2">
        <f>10^(B1/20)</f>
        <v>13179.532336685452</v>
      </c>
    </row>
    <row r="3" spans="1:29" x14ac:dyDescent="0.25">
      <c r="A3">
        <v>1.584893192</v>
      </c>
      <c r="B3">
        <v>82.397999999999996</v>
      </c>
      <c r="V3" t="s">
        <v>0</v>
      </c>
    </row>
    <row r="4" spans="1:29" x14ac:dyDescent="0.25">
      <c r="A4">
        <v>1.995262315</v>
      </c>
      <c r="B4">
        <v>82.397999999999996</v>
      </c>
    </row>
    <row r="5" spans="1:29" x14ac:dyDescent="0.25">
      <c r="A5">
        <v>2.5118864319999998</v>
      </c>
      <c r="B5">
        <v>82.397999999999996</v>
      </c>
      <c r="V5">
        <v>1</v>
      </c>
      <c r="W5">
        <f>B1-3.01</f>
        <v>79.387999999999991</v>
      </c>
    </row>
    <row r="6" spans="1:29" x14ac:dyDescent="0.25">
      <c r="A6">
        <v>3.16227766</v>
      </c>
      <c r="B6">
        <v>82.397999999999996</v>
      </c>
      <c r="V6">
        <v>10000000000</v>
      </c>
      <c r="W6">
        <f>B2-3.01</f>
        <v>79.387999999999991</v>
      </c>
    </row>
    <row r="7" spans="1:29" x14ac:dyDescent="0.25">
      <c r="A7">
        <v>3.9810717059999998</v>
      </c>
      <c r="B7">
        <v>82.397999999999996</v>
      </c>
    </row>
    <row r="8" spans="1:29" x14ac:dyDescent="0.25">
      <c r="A8">
        <v>5.0118723359999997</v>
      </c>
      <c r="B8">
        <v>82.397999999999996</v>
      </c>
      <c r="V8" t="s">
        <v>3</v>
      </c>
      <c r="Y8" t="s">
        <v>4</v>
      </c>
      <c r="AB8" t="s">
        <v>5</v>
      </c>
      <c r="AC8" t="s">
        <v>6</v>
      </c>
    </row>
    <row r="9" spans="1:29" x14ac:dyDescent="0.25">
      <c r="A9">
        <v>6.3095734449999998</v>
      </c>
      <c r="B9">
        <v>82.397999999999996</v>
      </c>
      <c r="V9" t="s">
        <v>1</v>
      </c>
      <c r="W9" t="s">
        <v>2</v>
      </c>
      <c r="Y9" t="s">
        <v>1</v>
      </c>
      <c r="Z9" t="s">
        <v>2</v>
      </c>
      <c r="AB9" t="s">
        <v>7</v>
      </c>
      <c r="AC9">
        <v>0</v>
      </c>
    </row>
    <row r="10" spans="1:29" x14ac:dyDescent="0.25">
      <c r="A10">
        <v>7.9432823470000002</v>
      </c>
      <c r="B10">
        <v>82.397999999999996</v>
      </c>
      <c r="V10">
        <v>10000</v>
      </c>
      <c r="W10">
        <f>W11+20</f>
        <v>87.500900000000001</v>
      </c>
      <c r="Y10" s="1">
        <v>10000000000</v>
      </c>
      <c r="Z10">
        <v>-70.247699999999995</v>
      </c>
    </row>
    <row r="11" spans="1:29" x14ac:dyDescent="0.25">
      <c r="A11">
        <v>10</v>
      </c>
      <c r="B11">
        <v>82.397999999999996</v>
      </c>
      <c r="V11">
        <v>100000</v>
      </c>
      <c r="W11">
        <v>67.500900000000001</v>
      </c>
      <c r="Y11" s="1">
        <v>2400000000</v>
      </c>
      <c r="Z11">
        <f>Z10+40</f>
        <v>-30.247699999999995</v>
      </c>
    </row>
    <row r="12" spans="1:29" x14ac:dyDescent="0.25">
      <c r="A12">
        <v>12.58925412</v>
      </c>
      <c r="B12">
        <v>82.397999999999996</v>
      </c>
      <c r="V12">
        <v>1000000</v>
      </c>
      <c r="W12">
        <v>47.642400000000002</v>
      </c>
      <c r="Y12" s="1">
        <v>1000000000</v>
      </c>
      <c r="Z12">
        <v>-6</v>
      </c>
    </row>
    <row r="13" spans="1:29" x14ac:dyDescent="0.25">
      <c r="A13">
        <v>15.84893192</v>
      </c>
      <c r="B13">
        <v>82.397999999999996</v>
      </c>
      <c r="V13">
        <v>10000000</v>
      </c>
      <c r="W13">
        <v>27.6433</v>
      </c>
    </row>
    <row r="14" spans="1:29" x14ac:dyDescent="0.25">
      <c r="A14">
        <v>19.952623150000001</v>
      </c>
      <c r="B14">
        <v>82.397999999999996</v>
      </c>
      <c r="V14">
        <v>100000000</v>
      </c>
      <c r="W14">
        <v>7.58399</v>
      </c>
    </row>
    <row r="15" spans="1:29" x14ac:dyDescent="0.25">
      <c r="A15">
        <v>25.11886432</v>
      </c>
      <c r="B15">
        <v>82.397999999999996</v>
      </c>
    </row>
    <row r="16" spans="1:29" x14ac:dyDescent="0.25">
      <c r="A16">
        <v>31.622776600000002</v>
      </c>
      <c r="B16">
        <v>82.397900000000007</v>
      </c>
    </row>
    <row r="17" spans="1:2" x14ac:dyDescent="0.25">
      <c r="A17">
        <v>39.810717060000002</v>
      </c>
      <c r="B17">
        <v>82.397900000000007</v>
      </c>
    </row>
    <row r="18" spans="1:2" x14ac:dyDescent="0.25">
      <c r="A18">
        <v>50.118723359999997</v>
      </c>
      <c r="B18">
        <v>82.397900000000007</v>
      </c>
    </row>
    <row r="19" spans="1:2" x14ac:dyDescent="0.25">
      <c r="A19">
        <v>63.095734450000002</v>
      </c>
      <c r="B19">
        <v>82.397900000000007</v>
      </c>
    </row>
    <row r="20" spans="1:2" x14ac:dyDescent="0.25">
      <c r="A20">
        <v>79.432823470000002</v>
      </c>
      <c r="B20">
        <v>82.397900000000007</v>
      </c>
    </row>
    <row r="21" spans="1:2" x14ac:dyDescent="0.25">
      <c r="A21">
        <v>100</v>
      </c>
      <c r="B21">
        <v>82.397800000000004</v>
      </c>
    </row>
    <row r="22" spans="1:2" x14ac:dyDescent="0.25">
      <c r="A22">
        <v>125.8925412</v>
      </c>
      <c r="B22">
        <v>82.397800000000004</v>
      </c>
    </row>
    <row r="23" spans="1:2" x14ac:dyDescent="0.25">
      <c r="A23">
        <v>158.48931920000001</v>
      </c>
      <c r="B23">
        <v>82.397599999999997</v>
      </c>
    </row>
    <row r="24" spans="1:2" x14ac:dyDescent="0.25">
      <c r="A24">
        <v>199.52623149999999</v>
      </c>
      <c r="B24">
        <v>82.397400000000005</v>
      </c>
    </row>
    <row r="25" spans="1:2" x14ac:dyDescent="0.25">
      <c r="A25">
        <v>251.1886432</v>
      </c>
      <c r="B25">
        <v>82.397099999999995</v>
      </c>
    </row>
    <row r="26" spans="1:2" x14ac:dyDescent="0.25">
      <c r="A26">
        <v>316.22776599999997</v>
      </c>
      <c r="B26">
        <v>82.396699999999996</v>
      </c>
    </row>
    <row r="27" spans="1:2" x14ac:dyDescent="0.25">
      <c r="A27">
        <v>398.10717060000002</v>
      </c>
      <c r="B27">
        <v>82.395899999999997</v>
      </c>
    </row>
    <row r="28" spans="1:2" x14ac:dyDescent="0.25">
      <c r="A28">
        <v>501.18723360000001</v>
      </c>
      <c r="B28">
        <v>82.3947</v>
      </c>
    </row>
    <row r="29" spans="1:2" x14ac:dyDescent="0.25">
      <c r="A29">
        <v>630.95734449999998</v>
      </c>
      <c r="B29">
        <v>82.392799999999994</v>
      </c>
    </row>
    <row r="30" spans="1:2" x14ac:dyDescent="0.25">
      <c r="A30">
        <v>794.32823470000005</v>
      </c>
      <c r="B30">
        <v>82.389799999999994</v>
      </c>
    </row>
    <row r="31" spans="1:2" x14ac:dyDescent="0.25">
      <c r="A31">
        <v>1000</v>
      </c>
      <c r="B31">
        <v>82.385000000000005</v>
      </c>
    </row>
    <row r="32" spans="1:2" x14ac:dyDescent="0.25">
      <c r="A32">
        <v>1258.9254120000001</v>
      </c>
      <c r="B32">
        <v>82.377399999999994</v>
      </c>
    </row>
    <row r="33" spans="1:2" x14ac:dyDescent="0.25">
      <c r="A33">
        <v>1584.893192</v>
      </c>
      <c r="B33">
        <v>82.365499999999997</v>
      </c>
    </row>
    <row r="34" spans="1:2" x14ac:dyDescent="0.25">
      <c r="A34">
        <v>1995.2623149999999</v>
      </c>
      <c r="B34">
        <v>82.346599999999995</v>
      </c>
    </row>
    <row r="35" spans="1:2" x14ac:dyDescent="0.25">
      <c r="A35">
        <v>2511.8864319999998</v>
      </c>
      <c r="B35">
        <v>82.316800000000001</v>
      </c>
    </row>
    <row r="36" spans="1:2" x14ac:dyDescent="0.25">
      <c r="A36">
        <v>3162.2776600000002</v>
      </c>
      <c r="B36">
        <v>82.270099999999999</v>
      </c>
    </row>
    <row r="37" spans="1:2" x14ac:dyDescent="0.25">
      <c r="A37">
        <v>3981.0717060000002</v>
      </c>
      <c r="B37">
        <v>82.197000000000003</v>
      </c>
    </row>
    <row r="38" spans="1:2" x14ac:dyDescent="0.25">
      <c r="A38">
        <v>5011.8723360000004</v>
      </c>
      <c r="B38">
        <v>82.083600000000004</v>
      </c>
    </row>
    <row r="39" spans="1:2" x14ac:dyDescent="0.25">
      <c r="A39">
        <v>6309.573445</v>
      </c>
      <c r="B39">
        <v>81.909800000000004</v>
      </c>
    </row>
    <row r="40" spans="1:2" x14ac:dyDescent="0.25">
      <c r="A40">
        <v>7943.2823470000003</v>
      </c>
      <c r="B40">
        <v>81.647800000000004</v>
      </c>
    </row>
    <row r="41" spans="1:2" x14ac:dyDescent="0.25">
      <c r="A41">
        <v>10000</v>
      </c>
      <c r="B41">
        <v>81.262500000000003</v>
      </c>
    </row>
    <row r="42" spans="1:2" x14ac:dyDescent="0.25">
      <c r="A42">
        <v>12589.25412</v>
      </c>
      <c r="B42">
        <v>80.714200000000005</v>
      </c>
    </row>
    <row r="43" spans="1:2" x14ac:dyDescent="0.25">
      <c r="A43">
        <v>15848.931920000001</v>
      </c>
      <c r="B43">
        <v>79.966099999999997</v>
      </c>
    </row>
    <row r="44" spans="1:2" x14ac:dyDescent="0.25">
      <c r="A44">
        <v>19952.623149999999</v>
      </c>
      <c r="B44">
        <v>78.994299999999996</v>
      </c>
    </row>
    <row r="45" spans="1:2" x14ac:dyDescent="0.25">
      <c r="A45">
        <v>25118.864320000001</v>
      </c>
      <c r="B45">
        <v>77.795900000000003</v>
      </c>
    </row>
    <row r="46" spans="1:2" x14ac:dyDescent="0.25">
      <c r="A46">
        <v>31622.776600000001</v>
      </c>
      <c r="B46">
        <v>76.390199999999993</v>
      </c>
    </row>
    <row r="47" spans="1:2" x14ac:dyDescent="0.25">
      <c r="A47">
        <v>39810.717060000003</v>
      </c>
      <c r="B47">
        <v>74.811899999999994</v>
      </c>
    </row>
    <row r="48" spans="1:2" x14ac:dyDescent="0.25">
      <c r="A48">
        <v>50118.723360000004</v>
      </c>
      <c r="B48">
        <v>73.100700000000003</v>
      </c>
    </row>
    <row r="49" spans="1:2" x14ac:dyDescent="0.25">
      <c r="A49">
        <v>63095.734450000004</v>
      </c>
      <c r="B49">
        <v>71.293300000000002</v>
      </c>
    </row>
    <row r="50" spans="1:2" x14ac:dyDescent="0.25">
      <c r="A50">
        <v>79432.823470000003</v>
      </c>
      <c r="B50">
        <v>69.419399999999996</v>
      </c>
    </row>
    <row r="51" spans="1:2" x14ac:dyDescent="0.25">
      <c r="A51">
        <v>100000</v>
      </c>
      <c r="B51">
        <v>67.500900000000001</v>
      </c>
    </row>
    <row r="52" spans="1:2" x14ac:dyDescent="0.25">
      <c r="A52">
        <v>125892.54120000001</v>
      </c>
      <c r="B52">
        <v>65.553100000000001</v>
      </c>
    </row>
    <row r="53" spans="1:2" x14ac:dyDescent="0.25">
      <c r="A53">
        <v>158489.3192</v>
      </c>
      <c r="B53">
        <v>63.586399999999998</v>
      </c>
    </row>
    <row r="54" spans="1:2" x14ac:dyDescent="0.25">
      <c r="A54">
        <v>199526.23149999999</v>
      </c>
      <c r="B54">
        <v>61.607500000000002</v>
      </c>
    </row>
    <row r="55" spans="1:2" x14ac:dyDescent="0.25">
      <c r="A55">
        <v>251188.64319999999</v>
      </c>
      <c r="B55">
        <v>59.620899999999999</v>
      </c>
    </row>
    <row r="56" spans="1:2" x14ac:dyDescent="0.25">
      <c r="A56">
        <v>316227.766</v>
      </c>
      <c r="B56">
        <v>57.629399999999997</v>
      </c>
    </row>
    <row r="57" spans="1:2" x14ac:dyDescent="0.25">
      <c r="A57">
        <v>398107.17060000001</v>
      </c>
      <c r="B57">
        <v>55.634700000000002</v>
      </c>
    </row>
    <row r="58" spans="1:2" x14ac:dyDescent="0.25">
      <c r="A58">
        <v>501187.23359999998</v>
      </c>
      <c r="B58">
        <v>53.638100000000001</v>
      </c>
    </row>
    <row r="59" spans="1:2" x14ac:dyDescent="0.25">
      <c r="A59">
        <v>630957.34450000001</v>
      </c>
      <c r="B59">
        <v>51.6402</v>
      </c>
    </row>
    <row r="60" spans="1:2" x14ac:dyDescent="0.25">
      <c r="A60">
        <v>794328.23470000003</v>
      </c>
      <c r="B60">
        <v>49.641599999999997</v>
      </c>
    </row>
    <row r="61" spans="1:2" x14ac:dyDescent="0.25">
      <c r="A61">
        <v>1000000</v>
      </c>
      <c r="B61">
        <v>47.642400000000002</v>
      </c>
    </row>
    <row r="62" spans="1:2" x14ac:dyDescent="0.25">
      <c r="A62">
        <v>1258925.412</v>
      </c>
      <c r="B62">
        <v>45.642899999999997</v>
      </c>
    </row>
    <row r="63" spans="1:2" x14ac:dyDescent="0.25">
      <c r="A63">
        <v>1584893.192</v>
      </c>
      <c r="B63">
        <v>43.643300000000004</v>
      </c>
    </row>
    <row r="64" spans="1:2" x14ac:dyDescent="0.25">
      <c r="A64">
        <v>1995262.3149999999</v>
      </c>
      <c r="B64">
        <v>41.643500000000003</v>
      </c>
    </row>
    <row r="65" spans="1:2" x14ac:dyDescent="0.25">
      <c r="A65">
        <v>2511886.432</v>
      </c>
      <c r="B65">
        <v>39.643599999999999</v>
      </c>
    </row>
    <row r="66" spans="1:2" x14ac:dyDescent="0.25">
      <c r="A66">
        <v>3162277.66</v>
      </c>
      <c r="B66">
        <v>37.643700000000003</v>
      </c>
    </row>
    <row r="67" spans="1:2" x14ac:dyDescent="0.25">
      <c r="A67">
        <v>3981071.7059999998</v>
      </c>
      <c r="B67">
        <v>35.643700000000003</v>
      </c>
    </row>
    <row r="68" spans="1:2" x14ac:dyDescent="0.25">
      <c r="A68">
        <v>5011872.3360000001</v>
      </c>
      <c r="B68">
        <v>33.643700000000003</v>
      </c>
    </row>
    <row r="69" spans="1:2" x14ac:dyDescent="0.25">
      <c r="A69">
        <v>6309573.4450000003</v>
      </c>
      <c r="B69">
        <v>31.643599999999999</v>
      </c>
    </row>
    <row r="70" spans="1:2" x14ac:dyDescent="0.25">
      <c r="A70">
        <v>7943282.3470000001</v>
      </c>
      <c r="B70">
        <v>29.6435</v>
      </c>
    </row>
    <row r="71" spans="1:2" x14ac:dyDescent="0.25">
      <c r="A71">
        <v>10000000</v>
      </c>
      <c r="B71">
        <v>27.6433</v>
      </c>
    </row>
    <row r="72" spans="1:2" x14ac:dyDescent="0.25">
      <c r="A72">
        <v>12589254.119999999</v>
      </c>
      <c r="B72">
        <v>25.642900000000001</v>
      </c>
    </row>
    <row r="73" spans="1:2" x14ac:dyDescent="0.25">
      <c r="A73">
        <v>15848931.92</v>
      </c>
      <c r="B73">
        <v>23.642299999999999</v>
      </c>
    </row>
    <row r="74" spans="1:2" x14ac:dyDescent="0.25">
      <c r="A74">
        <v>19952623.149999999</v>
      </c>
      <c r="B74">
        <v>21.641500000000001</v>
      </c>
    </row>
    <row r="75" spans="1:2" x14ac:dyDescent="0.25">
      <c r="A75">
        <v>25118864.32</v>
      </c>
      <c r="B75">
        <v>19.6401</v>
      </c>
    </row>
    <row r="76" spans="1:2" x14ac:dyDescent="0.25">
      <c r="A76">
        <v>31622776.600000001</v>
      </c>
      <c r="B76">
        <v>17.637799999999999</v>
      </c>
    </row>
    <row r="77" spans="1:2" x14ac:dyDescent="0.25">
      <c r="A77">
        <v>39810717.060000002</v>
      </c>
      <c r="B77">
        <v>15.6343</v>
      </c>
    </row>
    <row r="78" spans="1:2" x14ac:dyDescent="0.25">
      <c r="A78">
        <v>50118723.359999999</v>
      </c>
      <c r="B78">
        <v>13.6288</v>
      </c>
    </row>
    <row r="79" spans="1:2" x14ac:dyDescent="0.25">
      <c r="A79">
        <v>63095734.450000003</v>
      </c>
      <c r="B79">
        <v>11.62</v>
      </c>
    </row>
    <row r="80" spans="1:2" x14ac:dyDescent="0.25">
      <c r="A80">
        <v>79432823.469999999</v>
      </c>
      <c r="B80">
        <v>9.6060099999999995</v>
      </c>
    </row>
    <row r="81" spans="1:2" x14ac:dyDescent="0.25">
      <c r="A81">
        <v>100000000</v>
      </c>
      <c r="B81">
        <v>7.58399</v>
      </c>
    </row>
    <row r="82" spans="1:2" x14ac:dyDescent="0.25">
      <c r="A82">
        <v>125892541.2</v>
      </c>
      <c r="B82">
        <v>5.5492800000000004</v>
      </c>
    </row>
    <row r="83" spans="1:2" x14ac:dyDescent="0.25">
      <c r="A83">
        <v>158489319.19999999</v>
      </c>
      <c r="B83">
        <v>3.49472</v>
      </c>
    </row>
    <row r="84" spans="1:2" x14ac:dyDescent="0.25">
      <c r="A84">
        <v>199526231.5</v>
      </c>
      <c r="B84">
        <v>1.40934</v>
      </c>
    </row>
    <row r="85" spans="1:2" x14ac:dyDescent="0.25">
      <c r="A85">
        <v>251188643.19999999</v>
      </c>
      <c r="B85">
        <v>-0.72330000000000005</v>
      </c>
    </row>
    <row r="86" spans="1:2" x14ac:dyDescent="0.25">
      <c r="A86">
        <v>316227766</v>
      </c>
      <c r="B86">
        <v>-2.9272399999999998</v>
      </c>
    </row>
    <row r="87" spans="1:2" x14ac:dyDescent="0.25">
      <c r="A87">
        <v>398107170.60000002</v>
      </c>
      <c r="B87">
        <v>-5.2360800000000003</v>
      </c>
    </row>
    <row r="88" spans="1:2" x14ac:dyDescent="0.25">
      <c r="A88">
        <v>501187233.60000002</v>
      </c>
      <c r="B88">
        <v>-7.6940799999999996</v>
      </c>
    </row>
    <row r="89" spans="1:2" x14ac:dyDescent="0.25">
      <c r="A89">
        <v>630957344.5</v>
      </c>
      <c r="B89">
        <v>-10.354900000000001</v>
      </c>
    </row>
    <row r="90" spans="1:2" x14ac:dyDescent="0.25">
      <c r="A90">
        <v>794328234.70000005</v>
      </c>
      <c r="B90">
        <v>-13.277200000000001</v>
      </c>
    </row>
    <row r="91" spans="1:2" x14ac:dyDescent="0.25">
      <c r="A91">
        <v>1000000000</v>
      </c>
      <c r="B91">
        <v>-16.517199999999999</v>
      </c>
    </row>
    <row r="92" spans="1:2" x14ac:dyDescent="0.25">
      <c r="A92">
        <v>1258925412</v>
      </c>
      <c r="B92">
        <v>-20.121099999999998</v>
      </c>
    </row>
    <row r="93" spans="1:2" x14ac:dyDescent="0.25">
      <c r="A93">
        <v>1584893192</v>
      </c>
      <c r="B93">
        <v>-24.121400000000001</v>
      </c>
    </row>
    <row r="94" spans="1:2" x14ac:dyDescent="0.25">
      <c r="A94">
        <v>1995262315</v>
      </c>
      <c r="B94">
        <v>-28.535399999999999</v>
      </c>
    </row>
    <row r="95" spans="1:2" x14ac:dyDescent="0.25">
      <c r="A95">
        <v>2511886432</v>
      </c>
      <c r="B95">
        <v>-33.365900000000003</v>
      </c>
    </row>
    <row r="96" spans="1:2" x14ac:dyDescent="0.25">
      <c r="A96">
        <v>3162277660</v>
      </c>
      <c r="B96">
        <v>-38.603400000000001</v>
      </c>
    </row>
    <row r="97" spans="1:2" x14ac:dyDescent="0.25">
      <c r="A97">
        <v>3981071706</v>
      </c>
      <c r="B97">
        <v>-44.2301</v>
      </c>
    </row>
    <row r="98" spans="1:2" x14ac:dyDescent="0.25">
      <c r="A98">
        <v>5011872336</v>
      </c>
      <c r="B98">
        <v>-50.226700000000001</v>
      </c>
    </row>
    <row r="99" spans="1:2" x14ac:dyDescent="0.25">
      <c r="A99">
        <v>6309573445</v>
      </c>
      <c r="B99">
        <v>-56.575800000000001</v>
      </c>
    </row>
    <row r="100" spans="1:2" x14ac:dyDescent="0.25">
      <c r="A100">
        <v>7943282347</v>
      </c>
      <c r="B100">
        <v>-63.258499999999998</v>
      </c>
    </row>
    <row r="101" spans="1:2" x14ac:dyDescent="0.25">
      <c r="A101" s="1">
        <v>10000000000</v>
      </c>
      <c r="B101">
        <v>-70.247699999999995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E7F7-21B8-4400-A283-65CE7A5B6B13}">
  <dimension ref="A1"/>
  <sheetViews>
    <sheetView topLeftCell="A11" workbookViewId="0">
      <selection activeCell="R17" sqref="R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DBDA-B1A6-44D8-869A-8000DDF59DBC}">
  <dimension ref="A1:E30"/>
  <sheetViews>
    <sheetView topLeftCell="A4" workbookViewId="0">
      <selection activeCell="S10" sqref="S10"/>
    </sheetView>
  </sheetViews>
  <sheetFormatPr defaultRowHeight="15" x14ac:dyDescent="0.25"/>
  <cols>
    <col min="1" max="1" width="19.85546875" customWidth="1"/>
  </cols>
  <sheetData>
    <row r="1" spans="1:5" x14ac:dyDescent="0.25">
      <c r="A1">
        <v>-3.0000000000000001E-3</v>
      </c>
      <c r="B1">
        <v>12.637700000000001</v>
      </c>
    </row>
    <row r="2" spans="1:5" x14ac:dyDescent="0.25">
      <c r="A2">
        <v>-1.6999999999999999E-3</v>
      </c>
      <c r="B2">
        <v>12.6313</v>
      </c>
    </row>
    <row r="3" spans="1:5" x14ac:dyDescent="0.25">
      <c r="A3">
        <v>-4.0000000000000002E-4</v>
      </c>
      <c r="B3">
        <v>12.623100000000001</v>
      </c>
    </row>
    <row r="4" spans="1:5" x14ac:dyDescent="0.25">
      <c r="A4">
        <v>5.1000000000000004E-4</v>
      </c>
      <c r="B4">
        <v>12.6151</v>
      </c>
    </row>
    <row r="5" spans="1:5" x14ac:dyDescent="0.25">
      <c r="A5">
        <v>1.16E-3</v>
      </c>
      <c r="B5">
        <v>12.6075</v>
      </c>
      <c r="E5">
        <f>(B14-B15)/(A15-A14)</f>
        <v>13201.880000000012</v>
      </c>
    </row>
    <row r="6" spans="1:5" x14ac:dyDescent="0.25">
      <c r="A6">
        <v>1.6800000000000001E-3</v>
      </c>
      <c r="B6">
        <v>12.5991</v>
      </c>
    </row>
    <row r="7" spans="1:5" x14ac:dyDescent="0.25">
      <c r="A7">
        <v>2.0699999999999998E-3</v>
      </c>
      <c r="B7">
        <v>12.590400000000001</v>
      </c>
    </row>
    <row r="8" spans="1:5" x14ac:dyDescent="0.25">
      <c r="A8">
        <v>2.33E-3</v>
      </c>
      <c r="B8">
        <v>12.5824</v>
      </c>
    </row>
    <row r="9" spans="1:5" x14ac:dyDescent="0.25">
      <c r="A9">
        <v>2.5899999999999999E-3</v>
      </c>
      <c r="B9">
        <v>12.5708</v>
      </c>
      <c r="E9">
        <f>(6.5392-3.244)/(0.00375-0.0035)</f>
        <v>13180.80000000001</v>
      </c>
    </row>
    <row r="10" spans="1:5" x14ac:dyDescent="0.25">
      <c r="A10">
        <v>2.7200000000000002E-3</v>
      </c>
      <c r="B10">
        <v>12.5623</v>
      </c>
    </row>
    <row r="11" spans="1:5" x14ac:dyDescent="0.25">
      <c r="A11">
        <v>2.8500000000000001E-3</v>
      </c>
      <c r="B11">
        <v>12.5496</v>
      </c>
    </row>
    <row r="12" spans="1:5" x14ac:dyDescent="0.25">
      <c r="A12">
        <v>2.98E-3</v>
      </c>
      <c r="B12">
        <v>12.522500000000001</v>
      </c>
    </row>
    <row r="13" spans="1:5" x14ac:dyDescent="0.25">
      <c r="A13">
        <v>3.1099999999999999E-3</v>
      </c>
      <c r="B13">
        <v>11.73</v>
      </c>
    </row>
    <row r="14" spans="1:5" x14ac:dyDescent="0.25">
      <c r="A14">
        <v>3.5000000000000001E-3</v>
      </c>
      <c r="B14">
        <v>6.5392000000000001</v>
      </c>
    </row>
    <row r="15" spans="1:5" x14ac:dyDescent="0.25">
      <c r="A15">
        <v>3.7499999999999999E-3</v>
      </c>
      <c r="B15">
        <v>3.2387299999999999</v>
      </c>
    </row>
    <row r="16" spans="1:5" x14ac:dyDescent="0.25">
      <c r="A16">
        <v>3.8999999999999998E-3</v>
      </c>
      <c r="B16">
        <v>1.31</v>
      </c>
    </row>
    <row r="17" spans="1:2" x14ac:dyDescent="0.25">
      <c r="A17">
        <v>4.2300000000000003E-3</v>
      </c>
      <c r="B17">
        <v>-3.06</v>
      </c>
    </row>
    <row r="18" spans="1:2" x14ac:dyDescent="0.25">
      <c r="A18">
        <v>4.5399999999999998E-3</v>
      </c>
      <c r="B18">
        <v>-7.1166299999999998</v>
      </c>
    </row>
    <row r="19" spans="1:2" x14ac:dyDescent="0.25">
      <c r="A19">
        <v>4.7000000000000002E-3</v>
      </c>
      <c r="B19">
        <v>-9.2799999999999994</v>
      </c>
    </row>
    <row r="20" spans="1:2" x14ac:dyDescent="0.25">
      <c r="A20">
        <v>4.9300000000000004E-3</v>
      </c>
      <c r="B20">
        <v>-12.256600000000001</v>
      </c>
    </row>
    <row r="21" spans="1:2" x14ac:dyDescent="0.25">
      <c r="A21">
        <v>5.0600000000000003E-3</v>
      </c>
      <c r="B21">
        <v>-12.533799999999999</v>
      </c>
    </row>
    <row r="22" spans="1:2" x14ac:dyDescent="0.25">
      <c r="A22">
        <v>5.1900000000000002E-3</v>
      </c>
      <c r="B22">
        <v>-12.554399999999999</v>
      </c>
    </row>
    <row r="23" spans="1:2" x14ac:dyDescent="0.25">
      <c r="A23">
        <v>5.3200000000000001E-3</v>
      </c>
      <c r="B23">
        <v>-12.566800000000001</v>
      </c>
    </row>
    <row r="24" spans="1:2" x14ac:dyDescent="0.25">
      <c r="A24">
        <v>5.5799999999999999E-3</v>
      </c>
      <c r="B24">
        <v>-12.579000000000001</v>
      </c>
    </row>
    <row r="25" spans="1:2" x14ac:dyDescent="0.25">
      <c r="A25">
        <v>5.9699999999999996E-3</v>
      </c>
      <c r="B25">
        <v>-12.5915</v>
      </c>
    </row>
    <row r="26" spans="1:2" x14ac:dyDescent="0.25">
      <c r="A26">
        <v>6.4900000000000001E-3</v>
      </c>
      <c r="B26">
        <v>-12.6021</v>
      </c>
    </row>
    <row r="27" spans="1:2" x14ac:dyDescent="0.25">
      <c r="A27">
        <v>7.1399999999999996E-3</v>
      </c>
      <c r="B27">
        <v>-12.6113</v>
      </c>
    </row>
    <row r="28" spans="1:2" x14ac:dyDescent="0.25">
      <c r="A28">
        <v>8.0499999999999999E-3</v>
      </c>
      <c r="B28">
        <v>-12.6203</v>
      </c>
    </row>
    <row r="29" spans="1:2" x14ac:dyDescent="0.25">
      <c r="A29">
        <v>9.3500000000000007E-3</v>
      </c>
      <c r="B29">
        <v>-12.629300000000001</v>
      </c>
    </row>
    <row r="30" spans="1:2" x14ac:dyDescent="0.25">
      <c r="A30">
        <v>0.01</v>
      </c>
      <c r="B30">
        <v>-12.632899999999999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D298-9365-4E2C-B75E-AED45322607C}">
  <dimension ref="A1:E30"/>
  <sheetViews>
    <sheetView workbookViewId="0">
      <selection activeCell="F12" sqref="F12"/>
    </sheetView>
  </sheetViews>
  <sheetFormatPr defaultRowHeight="15" x14ac:dyDescent="0.25"/>
  <sheetData>
    <row r="1" spans="1:5" x14ac:dyDescent="0.25">
      <c r="A1">
        <v>-3.0000000000000001E-3</v>
      </c>
      <c r="B1">
        <v>12.637700000000001</v>
      </c>
    </row>
    <row r="2" spans="1:5" x14ac:dyDescent="0.25">
      <c r="A2">
        <v>-1.6999999999999999E-3</v>
      </c>
      <c r="B2">
        <v>12.6313</v>
      </c>
    </row>
    <row r="3" spans="1:5" x14ac:dyDescent="0.25">
      <c r="A3">
        <v>-4.0000000000000002E-4</v>
      </c>
      <c r="B3">
        <v>12.623100000000001</v>
      </c>
    </row>
    <row r="4" spans="1:5" x14ac:dyDescent="0.25">
      <c r="A4">
        <v>5.1000000000000004E-4</v>
      </c>
      <c r="B4">
        <v>12.6151</v>
      </c>
    </row>
    <row r="5" spans="1:5" x14ac:dyDescent="0.25">
      <c r="A5">
        <v>1.16E-3</v>
      </c>
      <c r="B5">
        <v>12.6075</v>
      </c>
    </row>
    <row r="6" spans="1:5" x14ac:dyDescent="0.25">
      <c r="A6">
        <v>1.6800000000000001E-3</v>
      </c>
      <c r="B6">
        <v>12.5991</v>
      </c>
    </row>
    <row r="7" spans="1:5" x14ac:dyDescent="0.25">
      <c r="A7">
        <v>2.0699999999999998E-3</v>
      </c>
      <c r="B7">
        <v>12.590400000000001</v>
      </c>
      <c r="E7">
        <f>(B13-B18)/(A18-A13)</f>
        <v>13179.461538461541</v>
      </c>
    </row>
    <row r="8" spans="1:5" x14ac:dyDescent="0.25">
      <c r="A8">
        <v>2.33E-3</v>
      </c>
      <c r="B8">
        <v>12.5824</v>
      </c>
    </row>
    <row r="9" spans="1:5" x14ac:dyDescent="0.25">
      <c r="A9">
        <v>2.5899999999999999E-3</v>
      </c>
      <c r="B9">
        <v>12.5708</v>
      </c>
    </row>
    <row r="10" spans="1:5" x14ac:dyDescent="0.25">
      <c r="A10">
        <v>2.7200000000000002E-3</v>
      </c>
      <c r="B10">
        <v>12.5623</v>
      </c>
    </row>
    <row r="11" spans="1:5" x14ac:dyDescent="0.25">
      <c r="A11">
        <v>2.8500000000000001E-3</v>
      </c>
      <c r="B11">
        <v>12.5496</v>
      </c>
    </row>
    <row r="12" spans="1:5" x14ac:dyDescent="0.25">
      <c r="A12">
        <v>2.98E-3</v>
      </c>
      <c r="B12">
        <v>12.522500000000001</v>
      </c>
    </row>
    <row r="13" spans="1:5" x14ac:dyDescent="0.25">
      <c r="A13">
        <v>3.1099999999999999E-3</v>
      </c>
      <c r="B13">
        <v>11.73</v>
      </c>
    </row>
    <row r="14" spans="1:5" x14ac:dyDescent="0.25">
      <c r="A14">
        <v>3.5000000000000001E-3</v>
      </c>
      <c r="B14">
        <v>6.5392000000000001</v>
      </c>
    </row>
    <row r="15" spans="1:5" x14ac:dyDescent="0.25">
      <c r="A15">
        <v>3.7499999999999999E-3</v>
      </c>
      <c r="B15">
        <v>3.2387299999999999</v>
      </c>
    </row>
    <row r="16" spans="1:5" x14ac:dyDescent="0.25">
      <c r="A16">
        <v>3.8999999999999998E-3</v>
      </c>
      <c r="B16">
        <v>1.31</v>
      </c>
    </row>
    <row r="17" spans="1:2" x14ac:dyDescent="0.25">
      <c r="A17">
        <v>4.2300000000000003E-3</v>
      </c>
      <c r="B17">
        <v>-3.06</v>
      </c>
    </row>
    <row r="18" spans="1:2" x14ac:dyDescent="0.25">
      <c r="A18">
        <v>4.5399999999999998E-3</v>
      </c>
      <c r="B18">
        <v>-7.1166299999999998</v>
      </c>
    </row>
    <row r="19" spans="1:2" x14ac:dyDescent="0.25">
      <c r="A19">
        <v>4.7000000000000002E-3</v>
      </c>
      <c r="B19">
        <v>-9.2799999999999994</v>
      </c>
    </row>
    <row r="20" spans="1:2" x14ac:dyDescent="0.25">
      <c r="A20">
        <v>4.9300000000000004E-3</v>
      </c>
      <c r="B20">
        <v>-12.256600000000001</v>
      </c>
    </row>
    <row r="21" spans="1:2" x14ac:dyDescent="0.25">
      <c r="A21">
        <v>5.0600000000000003E-3</v>
      </c>
      <c r="B21">
        <v>-12.533799999999999</v>
      </c>
    </row>
    <row r="22" spans="1:2" x14ac:dyDescent="0.25">
      <c r="A22">
        <v>5.1900000000000002E-3</v>
      </c>
      <c r="B22">
        <v>-12.554399999999999</v>
      </c>
    </row>
    <row r="23" spans="1:2" x14ac:dyDescent="0.25">
      <c r="A23">
        <v>5.3200000000000001E-3</v>
      </c>
      <c r="B23">
        <v>-12.566800000000001</v>
      </c>
    </row>
    <row r="24" spans="1:2" x14ac:dyDescent="0.25">
      <c r="A24">
        <v>5.5799999999999999E-3</v>
      </c>
      <c r="B24">
        <v>-12.579000000000001</v>
      </c>
    </row>
    <row r="25" spans="1:2" x14ac:dyDescent="0.25">
      <c r="A25">
        <v>5.9699999999999996E-3</v>
      </c>
      <c r="B25">
        <v>-12.5915</v>
      </c>
    </row>
    <row r="26" spans="1:2" x14ac:dyDescent="0.25">
      <c r="A26">
        <v>6.4900000000000001E-3</v>
      </c>
      <c r="B26">
        <v>-12.6021</v>
      </c>
    </row>
    <row r="27" spans="1:2" x14ac:dyDescent="0.25">
      <c r="A27">
        <v>7.1399999999999996E-3</v>
      </c>
      <c r="B27">
        <v>-12.6113</v>
      </c>
    </row>
    <row r="28" spans="1:2" x14ac:dyDescent="0.25">
      <c r="A28">
        <v>8.0499999999999999E-3</v>
      </c>
      <c r="B28">
        <v>-12.6203</v>
      </c>
    </row>
    <row r="29" spans="1:2" x14ac:dyDescent="0.25">
      <c r="A29">
        <v>9.3500000000000007E-3</v>
      </c>
      <c r="B29">
        <v>-12.629300000000001</v>
      </c>
    </row>
    <row r="30" spans="1:2" x14ac:dyDescent="0.25">
      <c r="A30">
        <v>0.01</v>
      </c>
      <c r="B30">
        <v>-12.632899999999999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377B-9222-4303-85E3-11D043F6B19F}">
  <dimension ref="A1:E30"/>
  <sheetViews>
    <sheetView workbookViewId="0">
      <selection activeCell="E12" sqref="E12"/>
    </sheetView>
  </sheetViews>
  <sheetFormatPr defaultRowHeight="15" x14ac:dyDescent="0.25"/>
  <cols>
    <col min="1" max="1" width="12.28515625" customWidth="1"/>
    <col min="5" max="5" width="12" bestFit="1" customWidth="1"/>
  </cols>
  <sheetData>
    <row r="1" spans="1:5" x14ac:dyDescent="0.25">
      <c r="A1">
        <v>-0.01</v>
      </c>
      <c r="B1">
        <v>-12.6326</v>
      </c>
    </row>
    <row r="2" spans="1:5" x14ac:dyDescent="0.25">
      <c r="A2">
        <v>-8.9999999999999993E-3</v>
      </c>
      <c r="B2">
        <v>-12.6272</v>
      </c>
    </row>
    <row r="3" spans="1:5" x14ac:dyDescent="0.25">
      <c r="A3">
        <v>-7.7499999999999999E-3</v>
      </c>
      <c r="B3">
        <v>-12.617599999999999</v>
      </c>
    </row>
    <row r="4" spans="1:5" x14ac:dyDescent="0.25">
      <c r="A4">
        <v>-7.0000000000000001E-3</v>
      </c>
      <c r="B4">
        <v>-12.6096</v>
      </c>
      <c r="E4">
        <f>-(B18-B17)/(A17-A18)</f>
        <v>13197.807692307679</v>
      </c>
    </row>
    <row r="5" spans="1:5" x14ac:dyDescent="0.25">
      <c r="A5">
        <v>-6.2500000000000003E-3</v>
      </c>
      <c r="B5">
        <v>-12.597799999999999</v>
      </c>
    </row>
    <row r="6" spans="1:5" x14ac:dyDescent="0.25">
      <c r="A6">
        <v>-5.7499999999999999E-3</v>
      </c>
      <c r="B6">
        <v>-12.5852</v>
      </c>
    </row>
    <row r="7" spans="1:5" x14ac:dyDescent="0.25">
      <c r="A7">
        <v>-5.4999999999999997E-3</v>
      </c>
      <c r="B7">
        <v>-12.5756</v>
      </c>
    </row>
    <row r="8" spans="1:5" x14ac:dyDescent="0.25">
      <c r="A8">
        <v>-5.3499999999999997E-3</v>
      </c>
      <c r="B8">
        <v>-12.564</v>
      </c>
      <c r="E8">
        <f>-(B17-B16)/(A16-A17)</f>
        <v>13179.166666666681</v>
      </c>
    </row>
    <row r="9" spans="1:5" x14ac:dyDescent="0.25">
      <c r="A9">
        <v>-5.2500000000000003E-3</v>
      </c>
      <c r="B9">
        <v>-12.5604</v>
      </c>
    </row>
    <row r="10" spans="1:5" x14ac:dyDescent="0.25">
      <c r="A10">
        <v>-5.13E-3</v>
      </c>
      <c r="B10">
        <v>-12.5</v>
      </c>
    </row>
    <row r="11" spans="1:5" x14ac:dyDescent="0.25">
      <c r="A11">
        <v>-5.0000000000000001E-3</v>
      </c>
      <c r="B11">
        <v>-12.42</v>
      </c>
    </row>
    <row r="12" spans="1:5" x14ac:dyDescent="0.25">
      <c r="A12">
        <v>-4.9500000000000004E-3</v>
      </c>
      <c r="B12">
        <v>-12.0001</v>
      </c>
    </row>
    <row r="13" spans="1:5" x14ac:dyDescent="0.25">
      <c r="A13">
        <v>-4.7499999999999999E-3</v>
      </c>
      <c r="B13">
        <v>-9.8849999999999998</v>
      </c>
    </row>
    <row r="14" spans="1:5" x14ac:dyDescent="0.25">
      <c r="A14">
        <v>-4.2100000000000002E-3</v>
      </c>
      <c r="B14">
        <v>-2.71</v>
      </c>
    </row>
    <row r="15" spans="1:5" x14ac:dyDescent="0.25">
      <c r="A15">
        <v>-3.9399999999999999E-3</v>
      </c>
      <c r="B15">
        <v>0.88400000000000001</v>
      </c>
    </row>
    <row r="16" spans="1:5" x14ac:dyDescent="0.25">
      <c r="A16">
        <v>-3.7499999999999999E-3</v>
      </c>
      <c r="B16">
        <v>3.29</v>
      </c>
    </row>
    <row r="17" spans="1:2" x14ac:dyDescent="0.25">
      <c r="A17">
        <v>-3.5100000000000001E-3</v>
      </c>
      <c r="B17">
        <v>6.4530000000000003</v>
      </c>
    </row>
    <row r="18" spans="1:2" x14ac:dyDescent="0.25">
      <c r="A18">
        <v>-3.2499999999999999E-3</v>
      </c>
      <c r="B18">
        <v>9.88443</v>
      </c>
    </row>
    <row r="19" spans="1:2" x14ac:dyDescent="0.25">
      <c r="A19">
        <v>-3.0599999999999998E-3</v>
      </c>
      <c r="B19">
        <v>11.9</v>
      </c>
    </row>
    <row r="20" spans="1:2" x14ac:dyDescent="0.25">
      <c r="A20">
        <v>-3.0000000000000001E-3</v>
      </c>
      <c r="B20">
        <v>12.5</v>
      </c>
    </row>
    <row r="21" spans="1:2" x14ac:dyDescent="0.25">
      <c r="A21">
        <v>-2.8400000000000001E-3</v>
      </c>
      <c r="B21">
        <v>12.56</v>
      </c>
    </row>
    <row r="22" spans="1:2" x14ac:dyDescent="0.25">
      <c r="A22">
        <v>-2.7499999999999998E-3</v>
      </c>
      <c r="B22">
        <v>12.568</v>
      </c>
    </row>
    <row r="23" spans="1:2" x14ac:dyDescent="0.25">
      <c r="A23">
        <v>-2.5999999999999999E-3</v>
      </c>
      <c r="B23">
        <v>12.57</v>
      </c>
    </row>
    <row r="24" spans="1:2" x14ac:dyDescent="0.25">
      <c r="A24">
        <v>-2.5000000000000001E-3</v>
      </c>
      <c r="B24">
        <v>12.579000000000001</v>
      </c>
    </row>
    <row r="25" spans="1:2" x14ac:dyDescent="0.25">
      <c r="A25">
        <v>-2.2499999999999998E-3</v>
      </c>
      <c r="B25">
        <v>12.587300000000001</v>
      </c>
    </row>
    <row r="26" spans="1:2" x14ac:dyDescent="0.25">
      <c r="A26">
        <v>-1.5E-3</v>
      </c>
      <c r="B26">
        <v>12.6023</v>
      </c>
    </row>
    <row r="27" spans="1:2" x14ac:dyDescent="0.25">
      <c r="A27">
        <v>-7.5000000000000002E-4</v>
      </c>
      <c r="B27">
        <v>12.612500000000001</v>
      </c>
    </row>
    <row r="28" spans="1:2" x14ac:dyDescent="0.25">
      <c r="A28">
        <v>2.5000000000000001E-4</v>
      </c>
      <c r="B28">
        <v>12.6219</v>
      </c>
    </row>
    <row r="29" spans="1:2" x14ac:dyDescent="0.25">
      <c r="A29">
        <v>1.75E-3</v>
      </c>
      <c r="B29">
        <v>12.631600000000001</v>
      </c>
    </row>
    <row r="30" spans="1:2" x14ac:dyDescent="0.25">
      <c r="A30">
        <v>3.0000000000000001E-3</v>
      </c>
      <c r="B30">
        <v>12.6372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ECD5-D338-424D-867B-F9B5115FAF26}">
  <dimension ref="A1:E30"/>
  <sheetViews>
    <sheetView workbookViewId="0">
      <selection activeCell="F10" sqref="F10"/>
    </sheetView>
  </sheetViews>
  <sheetFormatPr defaultRowHeight="15" x14ac:dyDescent="0.25"/>
  <cols>
    <col min="1" max="1" width="12.28515625" customWidth="1"/>
    <col min="5" max="5" width="12" bestFit="1" customWidth="1"/>
  </cols>
  <sheetData>
    <row r="1" spans="1:5" x14ac:dyDescent="0.25">
      <c r="A1">
        <v>-0.01</v>
      </c>
      <c r="B1">
        <v>-12.6326</v>
      </c>
    </row>
    <row r="2" spans="1:5" x14ac:dyDescent="0.25">
      <c r="A2">
        <v>-8.9999999999999993E-3</v>
      </c>
      <c r="B2">
        <v>-12.6272</v>
      </c>
    </row>
    <row r="3" spans="1:5" x14ac:dyDescent="0.25">
      <c r="A3">
        <v>-7.7499999999999999E-3</v>
      </c>
      <c r="B3">
        <v>-12.617599999999999</v>
      </c>
    </row>
    <row r="4" spans="1:5" x14ac:dyDescent="0.25">
      <c r="A4">
        <v>-7.0000000000000001E-3</v>
      </c>
      <c r="B4">
        <v>-12.6096</v>
      </c>
      <c r="E4">
        <f>-(B18-B17)/(A17-A18)</f>
        <v>13201.26923076922</v>
      </c>
    </row>
    <row r="5" spans="1:5" x14ac:dyDescent="0.25">
      <c r="A5">
        <v>-6.2500000000000003E-3</v>
      </c>
      <c r="B5">
        <v>-12.597799999999999</v>
      </c>
    </row>
    <row r="6" spans="1:5" x14ac:dyDescent="0.25">
      <c r="A6">
        <v>-5.7499999999999999E-3</v>
      </c>
      <c r="B6">
        <v>-12.5852</v>
      </c>
    </row>
    <row r="7" spans="1:5" x14ac:dyDescent="0.25">
      <c r="A7">
        <v>-5.4999999999999997E-3</v>
      </c>
      <c r="B7">
        <v>-12.5756</v>
      </c>
    </row>
    <row r="8" spans="1:5" x14ac:dyDescent="0.25">
      <c r="A8">
        <v>-5.3499999999999997E-3</v>
      </c>
      <c r="B8">
        <v>-12.564</v>
      </c>
    </row>
    <row r="9" spans="1:5" x14ac:dyDescent="0.25">
      <c r="A9">
        <v>-5.2500000000000003E-3</v>
      </c>
      <c r="B9">
        <v>-12.5604</v>
      </c>
    </row>
    <row r="10" spans="1:5" x14ac:dyDescent="0.25">
      <c r="A10">
        <v>-5.13E-3</v>
      </c>
      <c r="B10">
        <v>-12.5</v>
      </c>
    </row>
    <row r="11" spans="1:5" x14ac:dyDescent="0.25">
      <c r="A11">
        <v>-5.0000000000000001E-3</v>
      </c>
      <c r="B11">
        <v>-12.42</v>
      </c>
    </row>
    <row r="12" spans="1:5" x14ac:dyDescent="0.25">
      <c r="A12">
        <v>-4.9500000000000004E-3</v>
      </c>
      <c r="B12">
        <v>-12.0001</v>
      </c>
    </row>
    <row r="13" spans="1:5" x14ac:dyDescent="0.25">
      <c r="A13">
        <v>-4.7499999999999999E-3</v>
      </c>
      <c r="B13">
        <v>-9.8849999999999998</v>
      </c>
    </row>
    <row r="14" spans="1:5" x14ac:dyDescent="0.25">
      <c r="A14">
        <v>-4.2100000000000002E-3</v>
      </c>
      <c r="B14">
        <v>-2.71</v>
      </c>
    </row>
    <row r="15" spans="1:5" x14ac:dyDescent="0.25">
      <c r="A15">
        <v>-3.9399999999999999E-3</v>
      </c>
      <c r="B15">
        <v>0.88400000000000001</v>
      </c>
    </row>
    <row r="16" spans="1:5" x14ac:dyDescent="0.25">
      <c r="A16">
        <v>-3.7499999999999999E-3</v>
      </c>
      <c r="B16">
        <v>3.33</v>
      </c>
    </row>
    <row r="17" spans="1:2" x14ac:dyDescent="0.25">
      <c r="A17">
        <v>-3.5100000000000001E-3</v>
      </c>
      <c r="B17">
        <v>6.4520999999999997</v>
      </c>
    </row>
    <row r="18" spans="1:2" x14ac:dyDescent="0.25">
      <c r="A18">
        <v>-3.2499999999999999E-3</v>
      </c>
      <c r="B18">
        <v>9.88443</v>
      </c>
    </row>
    <row r="19" spans="1:2" x14ac:dyDescent="0.25">
      <c r="A19">
        <v>-3.0599999999999998E-3</v>
      </c>
      <c r="B19">
        <v>11.9</v>
      </c>
    </row>
    <row r="20" spans="1:2" x14ac:dyDescent="0.25">
      <c r="A20">
        <v>-3.0000000000000001E-3</v>
      </c>
      <c r="B20">
        <v>12.5</v>
      </c>
    </row>
    <row r="21" spans="1:2" x14ac:dyDescent="0.25">
      <c r="A21">
        <v>-2.8400000000000001E-3</v>
      </c>
      <c r="B21">
        <v>12.56</v>
      </c>
    </row>
    <row r="22" spans="1:2" x14ac:dyDescent="0.25">
      <c r="A22">
        <v>-2.7499999999999998E-3</v>
      </c>
      <c r="B22">
        <v>12.568</v>
      </c>
    </row>
    <row r="23" spans="1:2" x14ac:dyDescent="0.25">
      <c r="A23">
        <v>-2.5999999999999999E-3</v>
      </c>
      <c r="B23">
        <v>12.57</v>
      </c>
    </row>
    <row r="24" spans="1:2" x14ac:dyDescent="0.25">
      <c r="A24">
        <v>-2.5000000000000001E-3</v>
      </c>
      <c r="B24">
        <v>12.579000000000001</v>
      </c>
    </row>
    <row r="25" spans="1:2" x14ac:dyDescent="0.25">
      <c r="A25">
        <v>-2.2499999999999998E-3</v>
      </c>
      <c r="B25">
        <v>12.587300000000001</v>
      </c>
    </row>
    <row r="26" spans="1:2" x14ac:dyDescent="0.25">
      <c r="A26">
        <v>-1.5E-3</v>
      </c>
      <c r="B26">
        <v>12.6023</v>
      </c>
    </row>
    <row r="27" spans="1:2" x14ac:dyDescent="0.25">
      <c r="A27">
        <v>-7.5000000000000002E-4</v>
      </c>
      <c r="B27">
        <v>12.612500000000001</v>
      </c>
    </row>
    <row r="28" spans="1:2" x14ac:dyDescent="0.25">
      <c r="A28">
        <v>2.5000000000000001E-4</v>
      </c>
      <c r="B28">
        <v>12.6219</v>
      </c>
    </row>
    <row r="29" spans="1:2" x14ac:dyDescent="0.25">
      <c r="A29">
        <v>1.75E-3</v>
      </c>
      <c r="B29">
        <v>12.631600000000001</v>
      </c>
    </row>
    <row r="30" spans="1:2" x14ac:dyDescent="0.25">
      <c r="A30">
        <v>3.0000000000000001E-3</v>
      </c>
      <c r="B30">
        <v>12.6372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62A1-6D43-41F6-B9F5-1C9DCD2E1523}">
  <dimension ref="A1:F91"/>
  <sheetViews>
    <sheetView topLeftCell="D1" workbookViewId="0">
      <selection activeCell="C18" sqref="C18"/>
    </sheetView>
  </sheetViews>
  <sheetFormatPr defaultRowHeight="15" x14ac:dyDescent="0.25"/>
  <sheetData>
    <row r="1" spans="1:6" x14ac:dyDescent="0.25">
      <c r="A1">
        <v>1</v>
      </c>
      <c r="B1">
        <v>15.567</v>
      </c>
    </row>
    <row r="2" spans="1:6" x14ac:dyDescent="0.25">
      <c r="A2">
        <v>1.258925412</v>
      </c>
      <c r="B2">
        <v>15.567</v>
      </c>
    </row>
    <row r="3" spans="1:6" x14ac:dyDescent="0.25">
      <c r="A3">
        <v>1.584893192</v>
      </c>
      <c r="B3">
        <v>15.567</v>
      </c>
    </row>
    <row r="4" spans="1:6" x14ac:dyDescent="0.25">
      <c r="A4">
        <v>1.995262315</v>
      </c>
      <c r="B4">
        <v>15.567</v>
      </c>
      <c r="F4" s="2"/>
    </row>
    <row r="5" spans="1:6" x14ac:dyDescent="0.25">
      <c r="A5">
        <v>2.5118864319999998</v>
      </c>
      <c r="B5">
        <v>15.567</v>
      </c>
    </row>
    <row r="6" spans="1:6" x14ac:dyDescent="0.25">
      <c r="A6">
        <v>3.16227766</v>
      </c>
      <c r="B6">
        <v>15.567</v>
      </c>
    </row>
    <row r="7" spans="1:6" x14ac:dyDescent="0.25">
      <c r="A7">
        <v>3.9810717059999998</v>
      </c>
      <c r="B7">
        <v>15.567</v>
      </c>
    </row>
    <row r="8" spans="1:6" x14ac:dyDescent="0.25">
      <c r="A8">
        <v>5.0118723359999997</v>
      </c>
      <c r="B8">
        <v>15.567</v>
      </c>
    </row>
    <row r="9" spans="1:6" x14ac:dyDescent="0.25">
      <c r="A9">
        <v>6.3095734449999998</v>
      </c>
      <c r="B9">
        <v>15.567</v>
      </c>
    </row>
    <row r="10" spans="1:6" x14ac:dyDescent="0.25">
      <c r="A10">
        <v>7.9432823470000002</v>
      </c>
      <c r="B10">
        <v>15.567</v>
      </c>
    </row>
    <row r="11" spans="1:6" x14ac:dyDescent="0.25">
      <c r="A11">
        <v>10</v>
      </c>
      <c r="B11">
        <v>15.567</v>
      </c>
    </row>
    <row r="12" spans="1:6" x14ac:dyDescent="0.25">
      <c r="A12">
        <v>12.58925412</v>
      </c>
      <c r="B12">
        <v>15.567</v>
      </c>
    </row>
    <row r="13" spans="1:6" x14ac:dyDescent="0.25">
      <c r="A13">
        <v>15.84893192</v>
      </c>
      <c r="B13">
        <v>15.567</v>
      </c>
    </row>
    <row r="14" spans="1:6" x14ac:dyDescent="0.25">
      <c r="A14">
        <v>19.952623150000001</v>
      </c>
      <c r="B14">
        <v>15.567</v>
      </c>
    </row>
    <row r="15" spans="1:6" x14ac:dyDescent="0.25">
      <c r="A15">
        <v>25.11886432</v>
      </c>
      <c r="B15">
        <v>15.567</v>
      </c>
    </row>
    <row r="16" spans="1:6" x14ac:dyDescent="0.25">
      <c r="A16">
        <v>31.622776600000002</v>
      </c>
      <c r="B16">
        <v>15.567</v>
      </c>
    </row>
    <row r="17" spans="1:2" x14ac:dyDescent="0.25">
      <c r="A17">
        <v>39.810717060000002</v>
      </c>
      <c r="B17">
        <v>15.567</v>
      </c>
    </row>
    <row r="18" spans="1:2" x14ac:dyDescent="0.25">
      <c r="A18">
        <v>50.118723359999997</v>
      </c>
      <c r="B18">
        <v>15.567</v>
      </c>
    </row>
    <row r="19" spans="1:2" x14ac:dyDescent="0.25">
      <c r="A19">
        <v>63.095734450000002</v>
      </c>
      <c r="B19">
        <v>15.567</v>
      </c>
    </row>
    <row r="20" spans="1:2" x14ac:dyDescent="0.25">
      <c r="A20">
        <v>79.432823470000002</v>
      </c>
      <c r="B20">
        <v>15.567</v>
      </c>
    </row>
    <row r="21" spans="1:2" x14ac:dyDescent="0.25">
      <c r="A21">
        <v>100</v>
      </c>
      <c r="B21">
        <v>15.567</v>
      </c>
    </row>
    <row r="22" spans="1:2" x14ac:dyDescent="0.25">
      <c r="A22">
        <v>125.8925412</v>
      </c>
      <c r="B22">
        <v>15.567</v>
      </c>
    </row>
    <row r="23" spans="1:2" x14ac:dyDescent="0.25">
      <c r="A23">
        <v>158.48931920000001</v>
      </c>
      <c r="B23">
        <v>15.567</v>
      </c>
    </row>
    <row r="24" spans="1:2" x14ac:dyDescent="0.25">
      <c r="A24">
        <v>199.52623149999999</v>
      </c>
      <c r="B24">
        <v>15.567</v>
      </c>
    </row>
    <row r="25" spans="1:2" x14ac:dyDescent="0.25">
      <c r="A25">
        <v>251.1886432</v>
      </c>
      <c r="B25">
        <v>15.567</v>
      </c>
    </row>
    <row r="26" spans="1:2" x14ac:dyDescent="0.25">
      <c r="A26">
        <v>316.22776599999997</v>
      </c>
      <c r="B26">
        <v>15.567</v>
      </c>
    </row>
    <row r="27" spans="1:2" x14ac:dyDescent="0.25">
      <c r="A27">
        <v>398.10717060000002</v>
      </c>
      <c r="B27">
        <v>15.567</v>
      </c>
    </row>
    <row r="28" spans="1:2" x14ac:dyDescent="0.25">
      <c r="A28">
        <v>501.18723360000001</v>
      </c>
      <c r="B28">
        <v>15.567</v>
      </c>
    </row>
    <row r="29" spans="1:2" x14ac:dyDescent="0.25">
      <c r="A29">
        <v>630.95734449999998</v>
      </c>
      <c r="B29">
        <v>15.567</v>
      </c>
    </row>
    <row r="30" spans="1:2" x14ac:dyDescent="0.25">
      <c r="A30">
        <v>794.32823470000005</v>
      </c>
      <c r="B30">
        <v>15.567</v>
      </c>
    </row>
    <row r="31" spans="1:2" x14ac:dyDescent="0.25">
      <c r="A31">
        <v>1000</v>
      </c>
      <c r="B31">
        <v>15.567</v>
      </c>
    </row>
    <row r="32" spans="1:2" x14ac:dyDescent="0.25">
      <c r="A32">
        <v>1258.9254120000001</v>
      </c>
      <c r="B32">
        <v>15.567</v>
      </c>
    </row>
    <row r="33" spans="1:2" x14ac:dyDescent="0.25">
      <c r="A33">
        <v>1584.893192</v>
      </c>
      <c r="B33">
        <v>15.567</v>
      </c>
    </row>
    <row r="34" spans="1:2" x14ac:dyDescent="0.25">
      <c r="A34">
        <v>1995.2623149999999</v>
      </c>
      <c r="B34">
        <v>15.567</v>
      </c>
    </row>
    <row r="35" spans="1:2" x14ac:dyDescent="0.25">
      <c r="A35">
        <v>2511.8864319999998</v>
      </c>
      <c r="B35">
        <v>15.567</v>
      </c>
    </row>
    <row r="36" spans="1:2" x14ac:dyDescent="0.25">
      <c r="A36">
        <v>3162.2776600000002</v>
      </c>
      <c r="B36">
        <v>15.567</v>
      </c>
    </row>
    <row r="37" spans="1:2" x14ac:dyDescent="0.25">
      <c r="A37">
        <v>3981.0717060000002</v>
      </c>
      <c r="B37">
        <v>15.567</v>
      </c>
    </row>
    <row r="38" spans="1:2" x14ac:dyDescent="0.25">
      <c r="A38">
        <v>5011.8723360000004</v>
      </c>
      <c r="B38">
        <v>15.567</v>
      </c>
    </row>
    <row r="39" spans="1:2" x14ac:dyDescent="0.25">
      <c r="A39">
        <v>6309.573445</v>
      </c>
      <c r="B39">
        <v>15.567</v>
      </c>
    </row>
    <row r="40" spans="1:2" x14ac:dyDescent="0.25">
      <c r="A40">
        <v>7943.2823470000003</v>
      </c>
      <c r="B40">
        <v>15.567</v>
      </c>
    </row>
    <row r="41" spans="1:2" x14ac:dyDescent="0.25">
      <c r="A41">
        <v>10000</v>
      </c>
      <c r="B41">
        <v>15.567</v>
      </c>
    </row>
    <row r="42" spans="1:2" x14ac:dyDescent="0.25">
      <c r="A42">
        <v>12589.25412</v>
      </c>
      <c r="B42">
        <v>15.567</v>
      </c>
    </row>
    <row r="43" spans="1:2" x14ac:dyDescent="0.25">
      <c r="A43">
        <v>15848.931920000001</v>
      </c>
      <c r="B43">
        <v>15.567</v>
      </c>
    </row>
    <row r="44" spans="1:2" x14ac:dyDescent="0.25">
      <c r="A44">
        <v>19952.623149999999</v>
      </c>
      <c r="B44">
        <v>15.567</v>
      </c>
    </row>
    <row r="45" spans="1:2" x14ac:dyDescent="0.25">
      <c r="A45">
        <v>25118.864320000001</v>
      </c>
      <c r="B45">
        <v>15.567</v>
      </c>
    </row>
    <row r="46" spans="1:2" x14ac:dyDescent="0.25">
      <c r="A46">
        <v>31622.776600000001</v>
      </c>
      <c r="B46">
        <v>15.567</v>
      </c>
    </row>
    <row r="47" spans="1:2" x14ac:dyDescent="0.25">
      <c r="A47">
        <v>39810.717060000003</v>
      </c>
      <c r="B47">
        <v>15.567</v>
      </c>
    </row>
    <row r="48" spans="1:2" x14ac:dyDescent="0.25">
      <c r="A48">
        <v>50118.723360000004</v>
      </c>
      <c r="B48">
        <v>15.567</v>
      </c>
    </row>
    <row r="49" spans="1:2" x14ac:dyDescent="0.25">
      <c r="A49">
        <v>63095.734450000004</v>
      </c>
      <c r="B49">
        <v>15.567</v>
      </c>
    </row>
    <row r="50" spans="1:2" x14ac:dyDescent="0.25">
      <c r="A50">
        <v>79432.823470000003</v>
      </c>
      <c r="B50">
        <v>15.567</v>
      </c>
    </row>
    <row r="51" spans="1:2" x14ac:dyDescent="0.25">
      <c r="A51">
        <v>100000</v>
      </c>
      <c r="B51">
        <v>15.567</v>
      </c>
    </row>
    <row r="52" spans="1:2" x14ac:dyDescent="0.25">
      <c r="A52">
        <v>125892.54120000001</v>
      </c>
      <c r="B52">
        <v>15.5669</v>
      </c>
    </row>
    <row r="53" spans="1:2" x14ac:dyDescent="0.25">
      <c r="A53">
        <v>158489.3192</v>
      </c>
      <c r="B53">
        <v>15.5669</v>
      </c>
    </row>
    <row r="54" spans="1:2" x14ac:dyDescent="0.25">
      <c r="A54">
        <v>199526.23149999999</v>
      </c>
      <c r="B54">
        <v>15.566800000000001</v>
      </c>
    </row>
    <row r="55" spans="1:2" x14ac:dyDescent="0.25">
      <c r="A55">
        <v>251188.64319999999</v>
      </c>
      <c r="B55">
        <v>15.566800000000001</v>
      </c>
    </row>
    <row r="56" spans="1:2" x14ac:dyDescent="0.25">
      <c r="A56">
        <v>316227.766</v>
      </c>
      <c r="B56">
        <v>15.566599999999999</v>
      </c>
    </row>
    <row r="57" spans="1:2" x14ac:dyDescent="0.25">
      <c r="A57">
        <v>398107.17060000001</v>
      </c>
      <c r="B57">
        <v>15.5664</v>
      </c>
    </row>
    <row r="58" spans="1:2" x14ac:dyDescent="0.25">
      <c r="A58">
        <v>501187.23359999998</v>
      </c>
      <c r="B58">
        <v>15.5661</v>
      </c>
    </row>
    <row r="59" spans="1:2" x14ac:dyDescent="0.25">
      <c r="A59">
        <v>630957.34450000001</v>
      </c>
      <c r="B59">
        <v>15.5655</v>
      </c>
    </row>
    <row r="60" spans="1:2" x14ac:dyDescent="0.25">
      <c r="A60">
        <v>794328.23470000003</v>
      </c>
      <c r="B60">
        <v>15.5647</v>
      </c>
    </row>
    <row r="61" spans="1:2" x14ac:dyDescent="0.25">
      <c r="A61">
        <v>1000000</v>
      </c>
      <c r="B61">
        <v>15.5633</v>
      </c>
    </row>
    <row r="62" spans="1:2" x14ac:dyDescent="0.25">
      <c r="A62">
        <v>1258925.412</v>
      </c>
      <c r="B62">
        <v>15.561199999999999</v>
      </c>
    </row>
    <row r="63" spans="1:2" x14ac:dyDescent="0.25">
      <c r="A63">
        <v>1584893.192</v>
      </c>
      <c r="B63">
        <v>15.557700000000001</v>
      </c>
    </row>
    <row r="64" spans="1:2" x14ac:dyDescent="0.25">
      <c r="A64">
        <v>1995262.3149999999</v>
      </c>
      <c r="B64">
        <v>15.5524</v>
      </c>
    </row>
    <row r="65" spans="1:2" x14ac:dyDescent="0.25">
      <c r="A65">
        <v>2511886.432</v>
      </c>
      <c r="B65">
        <v>15.543799999999999</v>
      </c>
    </row>
    <row r="66" spans="1:2" x14ac:dyDescent="0.25">
      <c r="A66">
        <v>3162277.66</v>
      </c>
      <c r="B66">
        <v>15.5303</v>
      </c>
    </row>
    <row r="67" spans="1:2" x14ac:dyDescent="0.25">
      <c r="A67">
        <v>3981071.7059999998</v>
      </c>
      <c r="B67">
        <v>15.509</v>
      </c>
    </row>
    <row r="68" spans="1:2" x14ac:dyDescent="0.25">
      <c r="A68">
        <v>5011872.3360000001</v>
      </c>
      <c r="B68">
        <v>15.4755</v>
      </c>
    </row>
    <row r="69" spans="1:2" x14ac:dyDescent="0.25">
      <c r="A69">
        <v>6309573.4450000003</v>
      </c>
      <c r="B69">
        <v>15.422800000000001</v>
      </c>
    </row>
    <row r="70" spans="1:2" x14ac:dyDescent="0.25">
      <c r="A70">
        <v>7943282.3470000001</v>
      </c>
      <c r="B70">
        <v>15.3406</v>
      </c>
    </row>
    <row r="71" spans="1:2" x14ac:dyDescent="0.25">
      <c r="A71">
        <v>10000000</v>
      </c>
      <c r="B71">
        <v>15.2135</v>
      </c>
    </row>
    <row r="72" spans="1:2" x14ac:dyDescent="0.25">
      <c r="A72">
        <v>12589254.119999999</v>
      </c>
      <c r="B72">
        <v>15.019399999999999</v>
      </c>
    </row>
    <row r="73" spans="1:2" x14ac:dyDescent="0.25">
      <c r="A73">
        <v>15848931.92</v>
      </c>
      <c r="B73">
        <v>14.7286</v>
      </c>
    </row>
    <row r="74" spans="1:2" x14ac:dyDescent="0.25">
      <c r="A74">
        <v>19952623.149999999</v>
      </c>
      <c r="B74">
        <v>14.3043</v>
      </c>
    </row>
    <row r="75" spans="1:2" x14ac:dyDescent="0.25">
      <c r="A75">
        <v>25118864.32</v>
      </c>
      <c r="B75">
        <v>13.706899999999999</v>
      </c>
    </row>
    <row r="76" spans="1:2" x14ac:dyDescent="0.25">
      <c r="A76">
        <v>31622776.600000001</v>
      </c>
      <c r="B76">
        <v>12.902200000000001</v>
      </c>
    </row>
    <row r="77" spans="1:2" x14ac:dyDescent="0.25">
      <c r="A77">
        <v>39810717.060000002</v>
      </c>
      <c r="B77">
        <v>11.871700000000001</v>
      </c>
    </row>
    <row r="78" spans="1:2" x14ac:dyDescent="0.25">
      <c r="A78">
        <v>50118723.359999999</v>
      </c>
      <c r="B78">
        <v>10.619300000000001</v>
      </c>
    </row>
    <row r="79" spans="1:2" x14ac:dyDescent="0.25">
      <c r="A79">
        <v>63095734.450000003</v>
      </c>
      <c r="B79">
        <v>9.1699599999999997</v>
      </c>
    </row>
    <row r="80" spans="1:2" x14ac:dyDescent="0.25">
      <c r="A80">
        <v>79432823.469999999</v>
      </c>
      <c r="B80">
        <v>7.56168</v>
      </c>
    </row>
    <row r="81" spans="1:2" x14ac:dyDescent="0.25">
      <c r="A81">
        <v>100000000</v>
      </c>
      <c r="B81">
        <v>5.8350900000000001</v>
      </c>
    </row>
    <row r="82" spans="1:2" x14ac:dyDescent="0.25">
      <c r="A82">
        <v>125892541.2</v>
      </c>
      <c r="B82">
        <v>4.0259200000000002</v>
      </c>
    </row>
    <row r="83" spans="1:2" x14ac:dyDescent="0.25">
      <c r="A83">
        <v>158489319.19999999</v>
      </c>
      <c r="B83">
        <v>2.1608299999999998</v>
      </c>
    </row>
    <row r="84" spans="1:2" x14ac:dyDescent="0.25">
      <c r="A84">
        <v>199526231.5</v>
      </c>
      <c r="B84">
        <v>0.25484899999999999</v>
      </c>
    </row>
    <row r="85" spans="1:2" x14ac:dyDescent="0.25">
      <c r="A85">
        <v>251188643.19999999</v>
      </c>
      <c r="B85">
        <v>-1.69154</v>
      </c>
    </row>
    <row r="86" spans="1:2" x14ac:dyDescent="0.25">
      <c r="A86">
        <v>316227766</v>
      </c>
      <c r="B86">
        <v>-3.6958500000000001</v>
      </c>
    </row>
    <row r="87" spans="1:2" x14ac:dyDescent="0.25">
      <c r="A87">
        <v>398107170.60000002</v>
      </c>
      <c r="B87">
        <v>-5.7958299999999996</v>
      </c>
    </row>
    <row r="88" spans="1:2" x14ac:dyDescent="0.25">
      <c r="A88">
        <v>501187233.60000002</v>
      </c>
      <c r="B88">
        <v>-8.0474899999999998</v>
      </c>
    </row>
    <row r="89" spans="1:2" x14ac:dyDescent="0.25">
      <c r="A89">
        <v>630957344.5</v>
      </c>
      <c r="B89">
        <v>-10.5184</v>
      </c>
    </row>
    <row r="90" spans="1:2" x14ac:dyDescent="0.25">
      <c r="A90">
        <v>794328234.70000005</v>
      </c>
      <c r="B90">
        <v>-13.277900000000001</v>
      </c>
    </row>
    <row r="91" spans="1:2" x14ac:dyDescent="0.25">
      <c r="A91">
        <v>1000000000</v>
      </c>
      <c r="B91">
        <v>-16.387499999999999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EA88-A10A-4B0F-9DF2-CD2CCA6B54A6}">
  <dimension ref="A1:W101"/>
  <sheetViews>
    <sheetView tabSelected="1" workbookViewId="0">
      <selection activeCell="R21" sqref="R21"/>
    </sheetView>
  </sheetViews>
  <sheetFormatPr defaultRowHeight="15" x14ac:dyDescent="0.25"/>
  <cols>
    <col min="6" max="6" width="15.5703125" customWidth="1"/>
  </cols>
  <sheetData>
    <row r="1" spans="1:10" x14ac:dyDescent="0.25">
      <c r="A1">
        <v>1</v>
      </c>
      <c r="B1">
        <v>15.567</v>
      </c>
    </row>
    <row r="2" spans="1:10" x14ac:dyDescent="0.25">
      <c r="A2">
        <v>1.258925412</v>
      </c>
      <c r="B2">
        <v>15.567</v>
      </c>
    </row>
    <row r="3" spans="1:10" x14ac:dyDescent="0.25">
      <c r="A3">
        <v>1.584893192</v>
      </c>
      <c r="B3">
        <v>15.567</v>
      </c>
      <c r="F3">
        <v>1</v>
      </c>
      <c r="G3">
        <f>B1-3.01</f>
        <v>12.557</v>
      </c>
      <c r="J3">
        <f>10^(B1/20)</f>
        <v>6.0027464558163715</v>
      </c>
    </row>
    <row r="4" spans="1:10" x14ac:dyDescent="0.25">
      <c r="A4">
        <v>1.995262315</v>
      </c>
      <c r="B4">
        <v>15.567</v>
      </c>
      <c r="F4">
        <v>10000000000</v>
      </c>
      <c r="G4">
        <f>B2-3.01</f>
        <v>12.557</v>
      </c>
    </row>
    <row r="5" spans="1:10" x14ac:dyDescent="0.25">
      <c r="A5">
        <v>2.5118864319999998</v>
      </c>
      <c r="B5">
        <v>15.567</v>
      </c>
    </row>
    <row r="6" spans="1:10" x14ac:dyDescent="0.25">
      <c r="A6">
        <v>3.16227766</v>
      </c>
      <c r="B6">
        <v>15.567</v>
      </c>
    </row>
    <row r="7" spans="1:10" x14ac:dyDescent="0.25">
      <c r="A7">
        <v>3.9810717059999998</v>
      </c>
      <c r="B7">
        <v>15.567</v>
      </c>
    </row>
    <row r="8" spans="1:10" x14ac:dyDescent="0.25">
      <c r="A8">
        <v>5.0118723359999997</v>
      </c>
      <c r="B8">
        <v>15.567</v>
      </c>
    </row>
    <row r="9" spans="1:10" x14ac:dyDescent="0.25">
      <c r="A9">
        <v>6.3095734449999998</v>
      </c>
      <c r="B9">
        <v>15.567</v>
      </c>
    </row>
    <row r="10" spans="1:10" x14ac:dyDescent="0.25">
      <c r="A10">
        <v>7.9432823470000002</v>
      </c>
      <c r="B10">
        <v>15.567</v>
      </c>
    </row>
    <row r="11" spans="1:10" x14ac:dyDescent="0.25">
      <c r="A11">
        <v>10</v>
      </c>
      <c r="B11">
        <v>15.567</v>
      </c>
    </row>
    <row r="12" spans="1:10" x14ac:dyDescent="0.25">
      <c r="A12">
        <v>12.58925412</v>
      </c>
      <c r="B12">
        <v>15.567</v>
      </c>
    </row>
    <row r="13" spans="1:10" x14ac:dyDescent="0.25">
      <c r="A13">
        <v>15.84893192</v>
      </c>
      <c r="B13">
        <v>15.567</v>
      </c>
    </row>
    <row r="14" spans="1:10" x14ac:dyDescent="0.25">
      <c r="A14">
        <v>19.952623150000001</v>
      </c>
      <c r="B14">
        <v>15.567</v>
      </c>
    </row>
    <row r="15" spans="1:10" x14ac:dyDescent="0.25">
      <c r="A15">
        <v>25.11886432</v>
      </c>
      <c r="B15">
        <v>15.567</v>
      </c>
    </row>
    <row r="16" spans="1:10" x14ac:dyDescent="0.25">
      <c r="A16">
        <v>31.622776600000002</v>
      </c>
      <c r="B16">
        <v>15.567</v>
      </c>
    </row>
    <row r="17" spans="1:23" x14ac:dyDescent="0.25">
      <c r="A17">
        <v>39.810717060000002</v>
      </c>
      <c r="B17">
        <v>15.567</v>
      </c>
    </row>
    <row r="18" spans="1:23" x14ac:dyDescent="0.25">
      <c r="A18">
        <v>50.118723359999997</v>
      </c>
      <c r="B18">
        <v>15.567</v>
      </c>
    </row>
    <row r="19" spans="1:23" x14ac:dyDescent="0.25">
      <c r="A19">
        <v>63.095734450000002</v>
      </c>
      <c r="B19">
        <v>15.567</v>
      </c>
    </row>
    <row r="20" spans="1:23" x14ac:dyDescent="0.25">
      <c r="A20">
        <v>79.432823470000002</v>
      </c>
      <c r="B20">
        <v>15.567</v>
      </c>
    </row>
    <row r="21" spans="1:23" x14ac:dyDescent="0.25">
      <c r="A21">
        <v>100</v>
      </c>
      <c r="B21">
        <v>15.567</v>
      </c>
    </row>
    <row r="22" spans="1:23" x14ac:dyDescent="0.25">
      <c r="A22">
        <v>125.8925412</v>
      </c>
      <c r="B22">
        <v>15.567</v>
      </c>
    </row>
    <row r="23" spans="1:23" x14ac:dyDescent="0.25">
      <c r="A23">
        <v>158.48931920000001</v>
      </c>
      <c r="B23">
        <v>15.567</v>
      </c>
      <c r="V23" t="s">
        <v>4</v>
      </c>
    </row>
    <row r="24" spans="1:23" x14ac:dyDescent="0.25">
      <c r="A24">
        <v>199.52623149999999</v>
      </c>
      <c r="B24">
        <v>15.567</v>
      </c>
      <c r="V24" t="s">
        <v>1</v>
      </c>
      <c r="W24" t="s">
        <v>2</v>
      </c>
    </row>
    <row r="25" spans="1:23" x14ac:dyDescent="0.25">
      <c r="A25">
        <v>251.1886432</v>
      </c>
      <c r="B25">
        <v>15.567</v>
      </c>
      <c r="V25" s="1">
        <v>10000000000</v>
      </c>
      <c r="W25">
        <v>-70.247699999999995</v>
      </c>
    </row>
    <row r="26" spans="1:23" x14ac:dyDescent="0.25">
      <c r="A26">
        <v>316.22776599999997</v>
      </c>
      <c r="B26">
        <v>15.567</v>
      </c>
      <c r="V26">
        <v>2400000000</v>
      </c>
      <c r="W26">
        <f>W25+40</f>
        <v>-30.247699999999995</v>
      </c>
    </row>
    <row r="27" spans="1:23" x14ac:dyDescent="0.25">
      <c r="A27">
        <v>398.10717060000002</v>
      </c>
      <c r="B27">
        <v>15.567</v>
      </c>
    </row>
    <row r="28" spans="1:23" x14ac:dyDescent="0.25">
      <c r="A28">
        <v>501.18723360000001</v>
      </c>
      <c r="B28">
        <v>15.567</v>
      </c>
    </row>
    <row r="29" spans="1:23" x14ac:dyDescent="0.25">
      <c r="A29">
        <v>630.95734449999998</v>
      </c>
      <c r="B29">
        <v>15.567</v>
      </c>
    </row>
    <row r="30" spans="1:23" x14ac:dyDescent="0.25">
      <c r="A30">
        <v>794.32823470000005</v>
      </c>
      <c r="B30">
        <v>15.567</v>
      </c>
    </row>
    <row r="31" spans="1:23" x14ac:dyDescent="0.25">
      <c r="A31">
        <v>1000</v>
      </c>
      <c r="B31">
        <v>15.567</v>
      </c>
      <c r="U31" t="s">
        <v>4</v>
      </c>
    </row>
    <row r="32" spans="1:23" x14ac:dyDescent="0.25">
      <c r="A32">
        <v>1258.9254120000001</v>
      </c>
      <c r="B32">
        <v>15.567</v>
      </c>
      <c r="U32" t="s">
        <v>1</v>
      </c>
      <c r="V32" t="s">
        <v>2</v>
      </c>
    </row>
    <row r="33" spans="1:22" x14ac:dyDescent="0.25">
      <c r="A33">
        <v>1584.893192</v>
      </c>
      <c r="B33">
        <v>15.567</v>
      </c>
      <c r="U33" s="1">
        <v>10000000000</v>
      </c>
      <c r="V33">
        <v>-70.247699999999995</v>
      </c>
    </row>
    <row r="34" spans="1:22" x14ac:dyDescent="0.25">
      <c r="A34">
        <v>1995.2623149999999</v>
      </c>
      <c r="B34">
        <v>15.567</v>
      </c>
      <c r="U34" s="1">
        <v>2400000000</v>
      </c>
      <c r="V34">
        <f>V33+40</f>
        <v>-30.247699999999995</v>
      </c>
    </row>
    <row r="35" spans="1:22" x14ac:dyDescent="0.25">
      <c r="A35">
        <v>2511.8864319999998</v>
      </c>
      <c r="B35">
        <v>15.567</v>
      </c>
      <c r="U35" s="1">
        <v>1000000000</v>
      </c>
      <c r="V35">
        <f>-10</f>
        <v>-10</v>
      </c>
    </row>
    <row r="36" spans="1:22" x14ac:dyDescent="0.25">
      <c r="A36">
        <v>3162.2776600000002</v>
      </c>
      <c r="B36">
        <v>15.567</v>
      </c>
    </row>
    <row r="37" spans="1:22" x14ac:dyDescent="0.25">
      <c r="A37">
        <v>3981.0717060000002</v>
      </c>
      <c r="B37">
        <v>15.567</v>
      </c>
    </row>
    <row r="38" spans="1:22" x14ac:dyDescent="0.25">
      <c r="A38">
        <v>5011.8723360000004</v>
      </c>
      <c r="B38">
        <v>15.567</v>
      </c>
    </row>
    <row r="39" spans="1:22" x14ac:dyDescent="0.25">
      <c r="A39">
        <v>6309.573445</v>
      </c>
      <c r="B39">
        <v>15.567</v>
      </c>
    </row>
    <row r="40" spans="1:22" x14ac:dyDescent="0.25">
      <c r="A40">
        <v>7943.2823470000003</v>
      </c>
      <c r="B40">
        <v>15.567</v>
      </c>
    </row>
    <row r="41" spans="1:22" x14ac:dyDescent="0.25">
      <c r="A41">
        <v>10000</v>
      </c>
      <c r="B41">
        <v>15.567</v>
      </c>
    </row>
    <row r="42" spans="1:22" x14ac:dyDescent="0.25">
      <c r="A42">
        <v>12589.25412</v>
      </c>
      <c r="B42">
        <v>15.567</v>
      </c>
    </row>
    <row r="43" spans="1:22" x14ac:dyDescent="0.25">
      <c r="A43">
        <v>15848.931920000001</v>
      </c>
      <c r="B43">
        <v>15.567</v>
      </c>
    </row>
    <row r="44" spans="1:22" x14ac:dyDescent="0.25">
      <c r="A44">
        <v>19952.623149999999</v>
      </c>
      <c r="B44">
        <v>15.567</v>
      </c>
    </row>
    <row r="45" spans="1:22" x14ac:dyDescent="0.25">
      <c r="A45">
        <v>25118.864320000001</v>
      </c>
      <c r="B45">
        <v>15.567</v>
      </c>
    </row>
    <row r="46" spans="1:22" x14ac:dyDescent="0.25">
      <c r="A46">
        <v>31622.776600000001</v>
      </c>
      <c r="B46">
        <v>15.567</v>
      </c>
    </row>
    <row r="47" spans="1:22" x14ac:dyDescent="0.25">
      <c r="A47">
        <v>39810.717060000003</v>
      </c>
      <c r="B47">
        <v>15.567</v>
      </c>
    </row>
    <row r="48" spans="1:22" x14ac:dyDescent="0.25">
      <c r="A48">
        <v>50118.723360000004</v>
      </c>
      <c r="B48">
        <v>15.567</v>
      </c>
    </row>
    <row r="49" spans="1:2" x14ac:dyDescent="0.25">
      <c r="A49">
        <v>63095.734450000004</v>
      </c>
      <c r="B49">
        <v>15.567</v>
      </c>
    </row>
    <row r="50" spans="1:2" x14ac:dyDescent="0.25">
      <c r="A50">
        <v>79432.823470000003</v>
      </c>
      <c r="B50">
        <v>15.567</v>
      </c>
    </row>
    <row r="51" spans="1:2" x14ac:dyDescent="0.25">
      <c r="A51">
        <v>100000</v>
      </c>
      <c r="B51">
        <v>15.567</v>
      </c>
    </row>
    <row r="52" spans="1:2" x14ac:dyDescent="0.25">
      <c r="A52">
        <v>125892.54120000001</v>
      </c>
      <c r="B52">
        <v>15.5669</v>
      </c>
    </row>
    <row r="53" spans="1:2" x14ac:dyDescent="0.25">
      <c r="A53">
        <v>158489.3192</v>
      </c>
      <c r="B53">
        <v>15.5669</v>
      </c>
    </row>
    <row r="54" spans="1:2" x14ac:dyDescent="0.25">
      <c r="A54">
        <v>199526.23149999999</v>
      </c>
      <c r="B54">
        <v>15.566800000000001</v>
      </c>
    </row>
    <row r="55" spans="1:2" x14ac:dyDescent="0.25">
      <c r="A55">
        <v>251188.64319999999</v>
      </c>
      <c r="B55">
        <v>15.566800000000001</v>
      </c>
    </row>
    <row r="56" spans="1:2" x14ac:dyDescent="0.25">
      <c r="A56">
        <v>316227.766</v>
      </c>
      <c r="B56">
        <v>15.566599999999999</v>
      </c>
    </row>
    <row r="57" spans="1:2" x14ac:dyDescent="0.25">
      <c r="A57">
        <v>398107.17060000001</v>
      </c>
      <c r="B57">
        <v>15.5664</v>
      </c>
    </row>
    <row r="58" spans="1:2" x14ac:dyDescent="0.25">
      <c r="A58">
        <v>501187.23359999998</v>
      </c>
      <c r="B58">
        <v>15.5661</v>
      </c>
    </row>
    <row r="59" spans="1:2" x14ac:dyDescent="0.25">
      <c r="A59">
        <v>630957.34450000001</v>
      </c>
      <c r="B59">
        <v>15.5655</v>
      </c>
    </row>
    <row r="60" spans="1:2" x14ac:dyDescent="0.25">
      <c r="A60">
        <v>794328.23470000003</v>
      </c>
      <c r="B60">
        <v>15.5647</v>
      </c>
    </row>
    <row r="61" spans="1:2" x14ac:dyDescent="0.25">
      <c r="A61">
        <v>1000000</v>
      </c>
      <c r="B61">
        <v>15.5633</v>
      </c>
    </row>
    <row r="62" spans="1:2" x14ac:dyDescent="0.25">
      <c r="A62">
        <v>1258925.412</v>
      </c>
      <c r="B62">
        <v>15.561199999999999</v>
      </c>
    </row>
    <row r="63" spans="1:2" x14ac:dyDescent="0.25">
      <c r="A63">
        <v>1584893.192</v>
      </c>
      <c r="B63">
        <v>15.557700000000001</v>
      </c>
    </row>
    <row r="64" spans="1:2" x14ac:dyDescent="0.25">
      <c r="A64">
        <v>1995262.3149999999</v>
      </c>
      <c r="B64">
        <v>15.5524</v>
      </c>
    </row>
    <row r="65" spans="1:2" x14ac:dyDescent="0.25">
      <c r="A65">
        <v>2511886.432</v>
      </c>
      <c r="B65">
        <v>15.543799999999999</v>
      </c>
    </row>
    <row r="66" spans="1:2" x14ac:dyDescent="0.25">
      <c r="A66">
        <v>3162277.66</v>
      </c>
      <c r="B66">
        <v>15.5303</v>
      </c>
    </row>
    <row r="67" spans="1:2" x14ac:dyDescent="0.25">
      <c r="A67">
        <v>3981071.7059999998</v>
      </c>
      <c r="B67">
        <v>15.509</v>
      </c>
    </row>
    <row r="68" spans="1:2" x14ac:dyDescent="0.25">
      <c r="A68">
        <v>5011872.3360000001</v>
      </c>
      <c r="B68">
        <v>15.4755</v>
      </c>
    </row>
    <row r="69" spans="1:2" x14ac:dyDescent="0.25">
      <c r="A69">
        <v>6309573.4450000003</v>
      </c>
      <c r="B69">
        <v>15.422800000000001</v>
      </c>
    </row>
    <row r="70" spans="1:2" x14ac:dyDescent="0.25">
      <c r="A70">
        <v>7943282.3470000001</v>
      </c>
      <c r="B70">
        <v>15.3406</v>
      </c>
    </row>
    <row r="71" spans="1:2" x14ac:dyDescent="0.25">
      <c r="A71">
        <v>10000000</v>
      </c>
      <c r="B71">
        <v>15.2135</v>
      </c>
    </row>
    <row r="72" spans="1:2" x14ac:dyDescent="0.25">
      <c r="A72">
        <v>12589254.119999999</v>
      </c>
      <c r="B72">
        <v>15.019399999999999</v>
      </c>
    </row>
    <row r="73" spans="1:2" x14ac:dyDescent="0.25">
      <c r="A73">
        <v>15848931.92</v>
      </c>
      <c r="B73">
        <v>14.7286</v>
      </c>
    </row>
    <row r="74" spans="1:2" x14ac:dyDescent="0.25">
      <c r="A74">
        <v>19952623.149999999</v>
      </c>
      <c r="B74">
        <v>14.3043</v>
      </c>
    </row>
    <row r="75" spans="1:2" x14ac:dyDescent="0.25">
      <c r="A75">
        <v>25118864.32</v>
      </c>
      <c r="B75">
        <v>13.706899999999999</v>
      </c>
    </row>
    <row r="76" spans="1:2" x14ac:dyDescent="0.25">
      <c r="A76">
        <v>31622776.600000001</v>
      </c>
      <c r="B76">
        <v>12.902200000000001</v>
      </c>
    </row>
    <row r="77" spans="1:2" x14ac:dyDescent="0.25">
      <c r="A77">
        <v>39810717.060000002</v>
      </c>
      <c r="B77">
        <v>11.871700000000001</v>
      </c>
    </row>
    <row r="78" spans="1:2" x14ac:dyDescent="0.25">
      <c r="A78">
        <v>50118723.359999999</v>
      </c>
      <c r="B78">
        <v>10.619300000000001</v>
      </c>
    </row>
    <row r="79" spans="1:2" x14ac:dyDescent="0.25">
      <c r="A79">
        <v>63095734.450000003</v>
      </c>
      <c r="B79">
        <v>9.1699599999999997</v>
      </c>
    </row>
    <row r="80" spans="1:2" x14ac:dyDescent="0.25">
      <c r="A80">
        <v>79432823.469999999</v>
      </c>
      <c r="B80">
        <v>7.56168</v>
      </c>
    </row>
    <row r="81" spans="1:2" x14ac:dyDescent="0.25">
      <c r="A81">
        <v>100000000</v>
      </c>
      <c r="B81">
        <v>5.8350900000000001</v>
      </c>
    </row>
    <row r="82" spans="1:2" x14ac:dyDescent="0.25">
      <c r="A82">
        <v>125892541.2</v>
      </c>
      <c r="B82">
        <v>4.0259200000000002</v>
      </c>
    </row>
    <row r="83" spans="1:2" x14ac:dyDescent="0.25">
      <c r="A83">
        <v>158489319.19999999</v>
      </c>
      <c r="B83">
        <v>2.1608299999999998</v>
      </c>
    </row>
    <row r="84" spans="1:2" x14ac:dyDescent="0.25">
      <c r="A84">
        <v>199526231.5</v>
      </c>
      <c r="B84">
        <v>0.25484899999999999</v>
      </c>
    </row>
    <row r="85" spans="1:2" x14ac:dyDescent="0.25">
      <c r="A85">
        <v>251188643.19999999</v>
      </c>
      <c r="B85">
        <v>-1.69154</v>
      </c>
    </row>
    <row r="86" spans="1:2" x14ac:dyDescent="0.25">
      <c r="A86">
        <v>316227766</v>
      </c>
      <c r="B86">
        <v>-3.6958500000000001</v>
      </c>
    </row>
    <row r="87" spans="1:2" x14ac:dyDescent="0.25">
      <c r="A87">
        <v>398107170.60000002</v>
      </c>
      <c r="B87">
        <v>-5.7958299999999996</v>
      </c>
    </row>
    <row r="88" spans="1:2" x14ac:dyDescent="0.25">
      <c r="A88">
        <v>501187233.60000002</v>
      </c>
      <c r="B88">
        <v>-8.0474899999999998</v>
      </c>
    </row>
    <row r="89" spans="1:2" x14ac:dyDescent="0.25">
      <c r="A89">
        <v>630957344.5</v>
      </c>
      <c r="B89">
        <v>-10.5184</v>
      </c>
    </row>
    <row r="90" spans="1:2" x14ac:dyDescent="0.25">
      <c r="A90">
        <v>794328234.70000005</v>
      </c>
      <c r="B90">
        <v>-13.277900000000001</v>
      </c>
    </row>
    <row r="91" spans="1:2" x14ac:dyDescent="0.25">
      <c r="A91">
        <v>1000000000</v>
      </c>
      <c r="B91">
        <v>-16.387499999999999</v>
      </c>
    </row>
    <row r="92" spans="1:2" x14ac:dyDescent="0.25">
      <c r="A92">
        <v>1258925412</v>
      </c>
      <c r="B92">
        <v>-19.892199999999999</v>
      </c>
    </row>
    <row r="93" spans="1:2" x14ac:dyDescent="0.25">
      <c r="A93">
        <v>1584893192</v>
      </c>
      <c r="B93">
        <v>-23.8171</v>
      </c>
    </row>
    <row r="94" spans="1:2" x14ac:dyDescent="0.25">
      <c r="A94">
        <v>1995262315</v>
      </c>
      <c r="B94">
        <v>-28.1647</v>
      </c>
    </row>
    <row r="95" spans="1:2" x14ac:dyDescent="0.25">
      <c r="A95">
        <v>2511886432</v>
      </c>
      <c r="B95">
        <v>-32.909700000000001</v>
      </c>
    </row>
    <row r="96" spans="1:2" x14ac:dyDescent="0.25">
      <c r="A96">
        <v>3162277660</v>
      </c>
      <c r="B96">
        <v>-37.980600000000003</v>
      </c>
    </row>
    <row r="97" spans="1:2" x14ac:dyDescent="0.25">
      <c r="A97">
        <v>3981071706</v>
      </c>
      <c r="B97">
        <v>-43.218299999999999</v>
      </c>
    </row>
    <row r="98" spans="1:2" x14ac:dyDescent="0.25">
      <c r="A98">
        <v>5011872336</v>
      </c>
      <c r="B98">
        <v>-48.296999999999997</v>
      </c>
    </row>
    <row r="99" spans="1:2" x14ac:dyDescent="0.25">
      <c r="A99">
        <v>6309573445</v>
      </c>
      <c r="B99">
        <v>-52.6374</v>
      </c>
    </row>
    <row r="100" spans="1:2" x14ac:dyDescent="0.25">
      <c r="A100">
        <v>7943282347</v>
      </c>
      <c r="B100">
        <v>-55.463500000000003</v>
      </c>
    </row>
    <row r="101" spans="1:2" x14ac:dyDescent="0.25">
      <c r="A101" s="1">
        <v>10000000000</v>
      </c>
      <c r="B101">
        <v>-56.283700000000003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C615-7752-4C48-A4EF-E3E259580387}">
  <dimension ref="A1"/>
  <sheetViews>
    <sheetView workbookViewId="0">
      <selection activeCell="R9" sqref="R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6CFD-0E3D-41E2-A59A-92C289D4D873}">
  <dimension ref="A1"/>
  <sheetViews>
    <sheetView workbookViewId="0">
      <selection activeCell="F33" sqref="F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AFF8-95C4-4C79-B188-01F34715D22A}">
  <dimension ref="A1"/>
  <sheetViews>
    <sheetView topLeftCell="A13" workbookViewId="0">
      <selection activeCell="O30" sqref="O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E8C7-62A0-47D7-8F4D-0ECA1FD6C570}">
  <dimension ref="A1"/>
  <sheetViews>
    <sheetView topLeftCell="A2" workbookViewId="0">
      <selection activeCell="Q17" sqref="Q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75D0-FCE8-4212-BA5F-176338E5884A}">
  <dimension ref="A1"/>
  <sheetViews>
    <sheetView topLeftCell="A4" workbookViewId="0">
      <selection activeCell="R21" sqref="R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Лист1</vt:lpstr>
      <vt:lpstr>Лист9</vt:lpstr>
      <vt:lpstr>Лист2</vt:lpstr>
      <vt:lpstr>Лист3</vt:lpstr>
      <vt:lpstr>Лист4</vt:lpstr>
      <vt:lpstr>Лист5</vt:lpstr>
      <vt:lpstr>Лист6</vt:lpstr>
      <vt:lpstr>Лист7</vt:lpstr>
      <vt:lpstr>Лист13</vt:lpstr>
      <vt:lpstr>Лист8</vt:lpstr>
      <vt:lpstr>Лист10</vt:lpstr>
      <vt:lpstr>Лист11</vt:lpstr>
      <vt:lpstr>Лист12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2015-06-05T18:19:34Z</dcterms:created>
  <dcterms:modified xsi:type="dcterms:W3CDTF">2025-06-17T17:47:14Z</dcterms:modified>
</cp:coreProperties>
</file>