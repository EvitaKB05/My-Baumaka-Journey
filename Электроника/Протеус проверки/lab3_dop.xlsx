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Электроника\Протеус проверки\"/>
    </mc:Choice>
  </mc:AlternateContent>
  <xr:revisionPtr revIDLastSave="0" documentId="13_ncr:1_{368B2E4B-7ECC-42F9-8B54-55CB325D56B0}" xr6:coauthVersionLast="45" xr6:coauthVersionMax="45" xr10:uidLastSave="{00000000-0000-0000-0000-000000000000}"/>
  <bookViews>
    <workbookView xWindow="-120" yWindow="-120" windowWidth="20730" windowHeight="1104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91" i="3" l="1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85" i="1" l="1"/>
  <c r="C83" i="1"/>
  <c r="C82" i="1"/>
  <c r="C80" i="1"/>
  <c r="C91" i="1"/>
  <c r="C90" i="1"/>
  <c r="C89" i="1"/>
  <c r="C88" i="1"/>
  <c r="C87" i="1"/>
  <c r="C86" i="1"/>
  <c r="C84" i="1"/>
  <c r="C81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46" i="1"/>
  <c r="C58" i="1"/>
  <c r="C57" i="1"/>
  <c r="C56" i="1"/>
  <c r="C55" i="1"/>
  <c r="C54" i="1"/>
  <c r="C53" i="1"/>
  <c r="C52" i="1"/>
  <c r="C51" i="1"/>
  <c r="C50" i="1"/>
  <c r="C49" i="1"/>
  <c r="C48" i="1"/>
  <c r="C47" i="1"/>
  <c r="C45" i="1"/>
  <c r="C44" i="1"/>
  <c r="C43" i="1"/>
  <c r="C42" i="1"/>
  <c r="C41" i="1"/>
  <c r="C40" i="1"/>
  <c r="C39" i="1"/>
  <c r="C38" i="1"/>
  <c r="C37" i="1"/>
  <c r="C36" i="1"/>
  <c r="C35" i="1"/>
  <c r="C34" i="1"/>
  <c r="C17" i="1"/>
  <c r="C19" i="1"/>
  <c r="C3" i="1"/>
  <c r="C4" i="1"/>
  <c r="C5" i="1"/>
  <c r="C6" i="1"/>
  <c r="C7" i="1"/>
  <c r="C8" i="1"/>
  <c r="C9" i="1"/>
  <c r="C10" i="1"/>
  <c r="C20" i="1"/>
  <c r="C16" i="1"/>
  <c r="C14" i="1"/>
  <c r="C12" i="1"/>
  <c r="C21" i="1"/>
  <c r="C18" i="1"/>
  <c r="C22" i="1"/>
  <c r="C23" i="1"/>
  <c r="C24" i="1"/>
  <c r="C25" i="1"/>
  <c r="C26" i="1"/>
  <c r="C27" i="1"/>
  <c r="C28" i="1"/>
  <c r="C15" i="1"/>
  <c r="C13" i="1"/>
  <c r="C11" i="1"/>
</calcChain>
</file>

<file path=xl/sharedStrings.xml><?xml version="1.0" encoding="utf-8"?>
<sst xmlns="http://schemas.openxmlformats.org/spreadsheetml/2006/main" count="89" uniqueCount="22">
  <si>
    <r>
      <t>R</t>
    </r>
    <r>
      <rPr>
        <sz val="10"/>
        <color theme="1"/>
        <rFont val="Calibri"/>
        <family val="2"/>
        <charset val="204"/>
        <scheme val="minor"/>
      </rPr>
      <t>н</t>
    </r>
    <r>
      <rPr>
        <sz val="11"/>
        <color theme="1"/>
        <rFont val="Calibri"/>
        <family val="2"/>
        <scheme val="minor"/>
      </rPr>
      <t>, Ом</t>
    </r>
  </si>
  <si>
    <r>
      <t>U</t>
    </r>
    <r>
      <rPr>
        <sz val="10"/>
        <color theme="1"/>
        <rFont val="Calibri"/>
        <family val="2"/>
        <charset val="204"/>
        <scheme val="minor"/>
      </rPr>
      <t>вых</t>
    </r>
    <r>
      <rPr>
        <sz val="11"/>
        <color theme="1"/>
        <rFont val="Calibri"/>
        <family val="2"/>
        <scheme val="minor"/>
      </rPr>
      <t>, В</t>
    </r>
  </si>
  <si>
    <r>
      <t>I</t>
    </r>
    <r>
      <rPr>
        <sz val="10"/>
        <color theme="1"/>
        <rFont val="Calibri"/>
        <family val="2"/>
        <charset val="204"/>
        <scheme val="minor"/>
      </rPr>
      <t>вых</t>
    </r>
    <r>
      <rPr>
        <sz val="11"/>
        <color theme="1"/>
        <rFont val="Calibri"/>
        <family val="2"/>
        <scheme val="minor"/>
      </rPr>
      <t>, А</t>
    </r>
  </si>
  <si>
    <t>Uвх = 40 В</t>
  </si>
  <si>
    <t>∞</t>
  </si>
  <si>
    <t>Uвх = 28 В</t>
  </si>
  <si>
    <t>Uвх = 60 В</t>
  </si>
  <si>
    <r>
      <t>U</t>
    </r>
    <r>
      <rPr>
        <sz val="10"/>
        <color theme="1"/>
        <rFont val="Calibri"/>
        <family val="2"/>
        <charset val="204"/>
        <scheme val="minor"/>
      </rPr>
      <t>вх</t>
    </r>
    <r>
      <rPr>
        <sz val="11"/>
        <color theme="1"/>
        <rFont val="Calibri"/>
        <family val="2"/>
        <scheme val="minor"/>
      </rPr>
      <t>, В</t>
    </r>
  </si>
  <si>
    <t>Rн = 12 Ом</t>
  </si>
  <si>
    <t>Rн = 6 Ом</t>
  </si>
  <si>
    <t>Rн = 24 Ом</t>
  </si>
  <si>
    <t>Rн =  100 МОм</t>
  </si>
  <si>
    <t>R = 12</t>
  </si>
  <si>
    <t>Uvh</t>
  </si>
  <si>
    <t>Uvih</t>
  </si>
  <si>
    <t>K = 263</t>
  </si>
  <si>
    <t>R = 6</t>
  </si>
  <si>
    <t>K = 219</t>
  </si>
  <si>
    <t>R = 24</t>
  </si>
  <si>
    <t>K = 282</t>
  </si>
  <si>
    <t>R = inf</t>
  </si>
  <si>
    <t>K = 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</si>
</sst>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42536256658797E-2"/>
          <c:y val="3.2657920938399115E-2"/>
          <c:w val="0.88826421014691359"/>
          <c:h val="0.91642676141769364"/>
        </c:manualLayout>
      </c:layout>
      <c:scatterChart>
        <c:scatterStyle val="lineMarker"/>
        <c:varyColors val="0"/>
        <c:ser>
          <c:idx val="1"/>
          <c:order val="0"/>
          <c:tx>
            <c:v>Uвх = 28 В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Лист1!$C$33:$C$59</c:f>
              <c:numCache>
                <c:formatCode>General</c:formatCode>
                <c:ptCount val="27"/>
                <c:pt idx="0">
                  <c:v>0</c:v>
                </c:pt>
                <c:pt idx="1">
                  <c:v>0.11940200000000001</c:v>
                </c:pt>
                <c:pt idx="2">
                  <c:v>0.17057428571428573</c:v>
                </c:pt>
                <c:pt idx="3">
                  <c:v>0.19900333333333334</c:v>
                </c:pt>
                <c:pt idx="4">
                  <c:v>0.23880400000000002</c:v>
                </c:pt>
                <c:pt idx="5">
                  <c:v>0.29850500000000002</c:v>
                </c:pt>
                <c:pt idx="6">
                  <c:v>0.39800666666666668</c:v>
                </c:pt>
                <c:pt idx="7">
                  <c:v>0.59701000000000004</c:v>
                </c:pt>
                <c:pt idx="8">
                  <c:v>0.68229714285714294</c:v>
                </c:pt>
                <c:pt idx="9">
                  <c:v>0.79601333333333335</c:v>
                </c:pt>
                <c:pt idx="10">
                  <c:v>0.88445925925925928</c:v>
                </c:pt>
                <c:pt idx="11">
                  <c:v>0.99501666666666677</c:v>
                </c:pt>
                <c:pt idx="12">
                  <c:v>1.0379565217391304</c:v>
                </c:pt>
                <c:pt idx="13">
                  <c:v>1.1291047619047621</c:v>
                </c:pt>
                <c:pt idx="14">
                  <c:v>1.1690122999999999</c:v>
                </c:pt>
                <c:pt idx="15">
                  <c:v>1.1972315789473684</c:v>
                </c:pt>
                <c:pt idx="16">
                  <c:v>1.2115688888888889</c:v>
                </c:pt>
                <c:pt idx="17">
                  <c:v>1.2210588235294118</c:v>
                </c:pt>
                <c:pt idx="18">
                  <c:v>1.22815875</c:v>
                </c:pt>
                <c:pt idx="19">
                  <c:v>1.2405442857142857</c:v>
                </c:pt>
                <c:pt idx="20">
                  <c:v>1.2542116666666667</c:v>
                </c:pt>
                <c:pt idx="21">
                  <c:v>1.2650140000000001</c:v>
                </c:pt>
                <c:pt idx="22">
                  <c:v>1.2768275</c:v>
                </c:pt>
                <c:pt idx="23">
                  <c:v>1.2897100000000001</c:v>
                </c:pt>
                <c:pt idx="24">
                  <c:v>1.3025249999999999</c:v>
                </c:pt>
                <c:pt idx="25">
                  <c:v>1.3161799999999999</c:v>
                </c:pt>
                <c:pt idx="26">
                  <c:v>1.3294299999999999</c:v>
                </c:pt>
              </c:numCache>
            </c:numRef>
          </c:xVal>
          <c:yVal>
            <c:numRef>
              <c:f>Лист1!$B$33:$B$59</c:f>
              <c:numCache>
                <c:formatCode>General</c:formatCode>
                <c:ptCount val="27"/>
                <c:pt idx="0">
                  <c:v>11.940200000000001</c:v>
                </c:pt>
                <c:pt idx="1">
                  <c:v>11.940200000000001</c:v>
                </c:pt>
                <c:pt idx="2">
                  <c:v>11.940200000000001</c:v>
                </c:pt>
                <c:pt idx="3">
                  <c:v>11.940200000000001</c:v>
                </c:pt>
                <c:pt idx="4">
                  <c:v>11.940200000000001</c:v>
                </c:pt>
                <c:pt idx="5">
                  <c:v>11.940200000000001</c:v>
                </c:pt>
                <c:pt idx="6">
                  <c:v>11.940200000000001</c:v>
                </c:pt>
                <c:pt idx="7">
                  <c:v>11.940200000000001</c:v>
                </c:pt>
                <c:pt idx="8">
                  <c:v>11.940200000000001</c:v>
                </c:pt>
                <c:pt idx="9">
                  <c:v>11.940200000000001</c:v>
                </c:pt>
                <c:pt idx="10">
                  <c:v>11.940200000000001</c:v>
                </c:pt>
                <c:pt idx="11">
                  <c:v>11.940200000000001</c:v>
                </c:pt>
                <c:pt idx="12">
                  <c:v>11.936500000000001</c:v>
                </c:pt>
                <c:pt idx="13">
                  <c:v>11.855600000000001</c:v>
                </c:pt>
                <c:pt idx="14">
                  <c:v>11.690123</c:v>
                </c:pt>
                <c:pt idx="15">
                  <c:v>11.373699999999999</c:v>
                </c:pt>
                <c:pt idx="16">
                  <c:v>10.904120000000001</c:v>
                </c:pt>
                <c:pt idx="17">
                  <c:v>10.379</c:v>
                </c:pt>
                <c:pt idx="18">
                  <c:v>9.8252699999999997</c:v>
                </c:pt>
                <c:pt idx="19">
                  <c:v>8.6838099999999994</c:v>
                </c:pt>
                <c:pt idx="20">
                  <c:v>7.5252699999999999</c:v>
                </c:pt>
                <c:pt idx="21">
                  <c:v>6.3250700000000002</c:v>
                </c:pt>
                <c:pt idx="22">
                  <c:v>5.10731</c:v>
                </c:pt>
                <c:pt idx="23">
                  <c:v>3.8691300000000002</c:v>
                </c:pt>
                <c:pt idx="24">
                  <c:v>2.6050499999999999</c:v>
                </c:pt>
                <c:pt idx="25">
                  <c:v>1.3161799999999999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58-4FF2-8351-A7EFB36A4B4A}"/>
            </c:ext>
          </c:extLst>
        </c:ser>
        <c:ser>
          <c:idx val="0"/>
          <c:order val="1"/>
          <c:tx>
            <c:v>Uвх = 40 В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Лист1!$C$2:$C$29</c:f>
              <c:numCache>
                <c:formatCode>General</c:formatCode>
                <c:ptCount val="28"/>
                <c:pt idx="0">
                  <c:v>0</c:v>
                </c:pt>
                <c:pt idx="1">
                  <c:v>0.119951</c:v>
                </c:pt>
                <c:pt idx="2">
                  <c:v>0.17135857142857144</c:v>
                </c:pt>
                <c:pt idx="3">
                  <c:v>0.19991833333333334</c:v>
                </c:pt>
                <c:pt idx="4">
                  <c:v>0.239902</c:v>
                </c:pt>
                <c:pt idx="5">
                  <c:v>0.29987750000000002</c:v>
                </c:pt>
                <c:pt idx="6">
                  <c:v>0.39983666666666667</c:v>
                </c:pt>
                <c:pt idx="7">
                  <c:v>0.59975500000000004</c:v>
                </c:pt>
                <c:pt idx="8">
                  <c:v>0.68543428571428577</c:v>
                </c:pt>
                <c:pt idx="9">
                  <c:v>0.79967333333333335</c:v>
                </c:pt>
                <c:pt idx="10">
                  <c:v>0.88852592592592594</c:v>
                </c:pt>
                <c:pt idx="11">
                  <c:v>0.99959166666666677</c:v>
                </c:pt>
                <c:pt idx="12">
                  <c:v>1.0430434782608695</c:v>
                </c:pt>
                <c:pt idx="13">
                  <c:v>1.19421</c:v>
                </c:pt>
                <c:pt idx="14">
                  <c:v>1.2517168421052631</c:v>
                </c:pt>
                <c:pt idx="15">
                  <c:v>1.2805524324324324</c:v>
                </c:pt>
                <c:pt idx="16">
                  <c:v>1.3065933333333333</c:v>
                </c:pt>
                <c:pt idx="17">
                  <c:v>1.3237828571428572</c:v>
                </c:pt>
                <c:pt idx="18">
                  <c:v>1.3336588235294118</c:v>
                </c:pt>
                <c:pt idx="19">
                  <c:v>1.3447499999999999</c:v>
                </c:pt>
                <c:pt idx="20">
                  <c:v>1.3578447285714286</c:v>
                </c:pt>
                <c:pt idx="21">
                  <c:v>1.3711966666666668</c:v>
                </c:pt>
                <c:pt idx="22">
                  <c:v>1.386002</c:v>
                </c:pt>
                <c:pt idx="23">
                  <c:v>1.4003000000000001</c:v>
                </c:pt>
                <c:pt idx="24">
                  <c:v>1.4133733333333334</c:v>
                </c:pt>
                <c:pt idx="25">
                  <c:v>1.4262900000000001</c:v>
                </c:pt>
                <c:pt idx="26">
                  <c:v>1.4399</c:v>
                </c:pt>
                <c:pt idx="27">
                  <c:v>1.4542999999999999</c:v>
                </c:pt>
              </c:numCache>
            </c:numRef>
          </c:xVal>
          <c:yVal>
            <c:numRef>
              <c:f>Лист1!$B$2:$B$29</c:f>
              <c:numCache>
                <c:formatCode>General</c:formatCode>
                <c:ptCount val="28"/>
                <c:pt idx="0">
                  <c:v>11.995100000000001</c:v>
                </c:pt>
                <c:pt idx="1">
                  <c:v>11.995100000000001</c:v>
                </c:pt>
                <c:pt idx="2">
                  <c:v>11.995100000000001</c:v>
                </c:pt>
                <c:pt idx="3">
                  <c:v>11.995100000000001</c:v>
                </c:pt>
                <c:pt idx="4">
                  <c:v>11.995100000000001</c:v>
                </c:pt>
                <c:pt idx="5">
                  <c:v>11.995100000000001</c:v>
                </c:pt>
                <c:pt idx="6">
                  <c:v>11.995100000000001</c:v>
                </c:pt>
                <c:pt idx="7">
                  <c:v>11.995100000000001</c:v>
                </c:pt>
                <c:pt idx="8">
                  <c:v>11.995100000000001</c:v>
                </c:pt>
                <c:pt idx="9">
                  <c:v>11.995100000000001</c:v>
                </c:pt>
                <c:pt idx="10">
                  <c:v>11.995100000000001</c:v>
                </c:pt>
                <c:pt idx="11">
                  <c:v>11.995100000000001</c:v>
                </c:pt>
                <c:pt idx="12">
                  <c:v>11.994999999999999</c:v>
                </c:pt>
                <c:pt idx="13">
                  <c:v>11.9421</c:v>
                </c:pt>
                <c:pt idx="14">
                  <c:v>11.891310000000001</c:v>
                </c:pt>
                <c:pt idx="15">
                  <c:v>11.84511</c:v>
                </c:pt>
                <c:pt idx="16">
                  <c:v>11.75934</c:v>
                </c:pt>
                <c:pt idx="17">
                  <c:v>11.5831</c:v>
                </c:pt>
                <c:pt idx="18">
                  <c:v>11.3361</c:v>
                </c:pt>
                <c:pt idx="19">
                  <c:v>10.757999999999999</c:v>
                </c:pt>
                <c:pt idx="20">
                  <c:v>9.5049130999999996</c:v>
                </c:pt>
                <c:pt idx="21">
                  <c:v>8.2271800000000006</c:v>
                </c:pt>
                <c:pt idx="22">
                  <c:v>6.9300100000000002</c:v>
                </c:pt>
                <c:pt idx="23">
                  <c:v>5.6012000000000004</c:v>
                </c:pt>
                <c:pt idx="24">
                  <c:v>4.2401200000000001</c:v>
                </c:pt>
                <c:pt idx="25">
                  <c:v>2.8525800000000001</c:v>
                </c:pt>
                <c:pt idx="26">
                  <c:v>1.4399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58-4FF2-8351-A7EFB36A4B4A}"/>
            </c:ext>
          </c:extLst>
        </c:ser>
        <c:ser>
          <c:idx val="2"/>
          <c:order val="2"/>
          <c:tx>
            <c:v>Uвх = 60 В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Лист1!$C$62:$C$92</c:f>
              <c:numCache>
                <c:formatCode>General</c:formatCode>
                <c:ptCount val="31"/>
                <c:pt idx="0">
                  <c:v>0</c:v>
                </c:pt>
                <c:pt idx="1">
                  <c:v>0.120561</c:v>
                </c:pt>
                <c:pt idx="2">
                  <c:v>0.17223000000000002</c:v>
                </c:pt>
                <c:pt idx="3">
                  <c:v>0.200935</c:v>
                </c:pt>
                <c:pt idx="4">
                  <c:v>0.241122</c:v>
                </c:pt>
                <c:pt idx="5">
                  <c:v>0.30140250000000002</c:v>
                </c:pt>
                <c:pt idx="6">
                  <c:v>0.40187</c:v>
                </c:pt>
                <c:pt idx="7">
                  <c:v>0.60280500000000004</c:v>
                </c:pt>
                <c:pt idx="8">
                  <c:v>0.68892000000000009</c:v>
                </c:pt>
                <c:pt idx="9">
                  <c:v>0.80374000000000001</c:v>
                </c:pt>
                <c:pt idx="10">
                  <c:v>0.89304444444444453</c:v>
                </c:pt>
                <c:pt idx="11">
                  <c:v>1.004675</c:v>
                </c:pt>
                <c:pt idx="12">
                  <c:v>1.0480869565217392</c:v>
                </c:pt>
                <c:pt idx="13">
                  <c:v>1.147904761904762</c:v>
                </c:pt>
                <c:pt idx="14">
                  <c:v>1.2053</c:v>
                </c:pt>
                <c:pt idx="15">
                  <c:v>1.2687368421052632</c:v>
                </c:pt>
                <c:pt idx="16">
                  <c:v>1.3391111111111111</c:v>
                </c:pt>
                <c:pt idx="17">
                  <c:v>1.4142588235294118</c:v>
                </c:pt>
                <c:pt idx="18">
                  <c:v>1.454681212121212</c:v>
                </c:pt>
                <c:pt idx="19">
                  <c:v>1.4918875</c:v>
                </c:pt>
                <c:pt idx="20">
                  <c:v>1.5205290322580647</c:v>
                </c:pt>
                <c:pt idx="21">
                  <c:v>1.5385494666666666</c:v>
                </c:pt>
                <c:pt idx="22">
                  <c:v>1.5522557142857143</c:v>
                </c:pt>
                <c:pt idx="23">
                  <c:v>1.5598461538461537</c:v>
                </c:pt>
                <c:pt idx="24">
                  <c:v>1.5666500000000001</c:v>
                </c:pt>
                <c:pt idx="25">
                  <c:v>1.5798700000000001</c:v>
                </c:pt>
                <c:pt idx="26">
                  <c:v>1.596225</c:v>
                </c:pt>
                <c:pt idx="27">
                  <c:v>1.6123666666666667</c:v>
                </c:pt>
                <c:pt idx="28">
                  <c:v>1.6294999999999999</c:v>
                </c:pt>
                <c:pt idx="29">
                  <c:v>1.6454299999999999</c:v>
                </c:pt>
                <c:pt idx="30">
                  <c:v>1.6605000000000001</c:v>
                </c:pt>
              </c:numCache>
            </c:numRef>
          </c:xVal>
          <c:yVal>
            <c:numRef>
              <c:f>Лист1!$B$62:$B$92</c:f>
              <c:numCache>
                <c:formatCode>General</c:formatCode>
                <c:ptCount val="31"/>
                <c:pt idx="0">
                  <c:v>12.0562</c:v>
                </c:pt>
                <c:pt idx="1">
                  <c:v>12.056100000000001</c:v>
                </c:pt>
                <c:pt idx="2">
                  <c:v>12.056100000000001</c:v>
                </c:pt>
                <c:pt idx="3">
                  <c:v>12.056100000000001</c:v>
                </c:pt>
                <c:pt idx="4">
                  <c:v>12.056100000000001</c:v>
                </c:pt>
                <c:pt idx="5">
                  <c:v>12.056100000000001</c:v>
                </c:pt>
                <c:pt idx="6">
                  <c:v>12.056100000000001</c:v>
                </c:pt>
                <c:pt idx="7">
                  <c:v>12.056100000000001</c:v>
                </c:pt>
                <c:pt idx="8">
                  <c:v>12.056100000000001</c:v>
                </c:pt>
                <c:pt idx="9">
                  <c:v>12.056100000000001</c:v>
                </c:pt>
                <c:pt idx="10">
                  <c:v>12.056100000000001</c:v>
                </c:pt>
                <c:pt idx="11">
                  <c:v>12.056100000000001</c:v>
                </c:pt>
                <c:pt idx="12">
                  <c:v>12.053000000000001</c:v>
                </c:pt>
                <c:pt idx="13">
                  <c:v>12.053000000000001</c:v>
                </c:pt>
                <c:pt idx="14">
                  <c:v>12.053000000000001</c:v>
                </c:pt>
                <c:pt idx="15">
                  <c:v>12.053000000000001</c:v>
                </c:pt>
                <c:pt idx="16">
                  <c:v>12.052</c:v>
                </c:pt>
                <c:pt idx="17">
                  <c:v>12.0212</c:v>
                </c:pt>
                <c:pt idx="18">
                  <c:v>12.00112</c:v>
                </c:pt>
                <c:pt idx="19">
                  <c:v>11.9351</c:v>
                </c:pt>
                <c:pt idx="20">
                  <c:v>11.7841</c:v>
                </c:pt>
                <c:pt idx="21">
                  <c:v>11.539121</c:v>
                </c:pt>
                <c:pt idx="22">
                  <c:v>10.865790000000001</c:v>
                </c:pt>
                <c:pt idx="23">
                  <c:v>10.138999999999999</c:v>
                </c:pt>
                <c:pt idx="24">
                  <c:v>9.3999000000000006</c:v>
                </c:pt>
                <c:pt idx="25">
                  <c:v>7.8993500000000001</c:v>
                </c:pt>
                <c:pt idx="26">
                  <c:v>6.3849</c:v>
                </c:pt>
                <c:pt idx="27">
                  <c:v>4.8371000000000004</c:v>
                </c:pt>
                <c:pt idx="28">
                  <c:v>3.2589999999999999</c:v>
                </c:pt>
                <c:pt idx="29">
                  <c:v>1.6454299999999999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58-4FF2-8351-A7EFB36A4B4A}"/>
            </c:ext>
          </c:extLst>
        </c:ser>
        <c:ser>
          <c:idx val="3"/>
          <c:order val="3"/>
          <c:tx>
            <c:v>ВАХ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Лист1!$I$35:$J$35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Лист1!$I$36:$J$36</c:f>
              <c:numCache>
                <c:formatCode>General</c:formatCode>
                <c:ptCount val="2"/>
                <c:pt idx="0">
                  <c:v>0</c:v>
                </c:pt>
                <c:pt idx="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58-4FF2-8351-A7EFB36A4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67712"/>
        <c:axId val="147145696"/>
      </c:scatterChart>
      <c:valAx>
        <c:axId val="95967712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145696"/>
        <c:crosses val="autoZero"/>
        <c:crossBetween val="midCat"/>
      </c:valAx>
      <c:valAx>
        <c:axId val="147145696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967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05531479419519"/>
          <c:y val="7.8458242586500276E-2"/>
          <c:w val="0.16976611625231589"/>
          <c:h val="0.219284386597166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225974850677185E-2"/>
          <c:y val="3.1045734567192014E-2"/>
          <c:w val="0.93903278813582036"/>
          <c:h val="0.9034808779831518"/>
        </c:manualLayout>
      </c:layout>
      <c:scatterChart>
        <c:scatterStyle val="lineMarker"/>
        <c:varyColors val="0"/>
        <c:ser>
          <c:idx val="1"/>
          <c:order val="0"/>
          <c:tx>
            <c:v>Rн = 6 Ом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Лист1!$N$2:$N$20</c:f>
              <c:numCache>
                <c:formatCode>General</c:formatCode>
                <c:ptCount val="1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25</c:v>
                </c:pt>
                <c:pt idx="9">
                  <c:v>22</c:v>
                </c:pt>
                <c:pt idx="10">
                  <c:v>19.5</c:v>
                </c:pt>
                <c:pt idx="11">
                  <c:v>17.5</c:v>
                </c:pt>
                <c:pt idx="12">
                  <c:v>15</c:v>
                </c:pt>
                <c:pt idx="13">
                  <c:v>12.5</c:v>
                </c:pt>
                <c:pt idx="14">
                  <c:v>10</c:v>
                </c:pt>
                <c:pt idx="15">
                  <c:v>7.5</c:v>
                </c:pt>
                <c:pt idx="16">
                  <c:v>5</c:v>
                </c:pt>
                <c:pt idx="17">
                  <c:v>2.5</c:v>
                </c:pt>
                <c:pt idx="18">
                  <c:v>0</c:v>
                </c:pt>
              </c:numCache>
            </c:numRef>
          </c:xVal>
          <c:yVal>
            <c:numRef>
              <c:f>Лист1!$O$2:$O$20</c:f>
              <c:numCache>
                <c:formatCode>General</c:formatCode>
                <c:ptCount val="19"/>
                <c:pt idx="0">
                  <c:v>11.969200000000001</c:v>
                </c:pt>
                <c:pt idx="1">
                  <c:v>11.924200000000001</c:v>
                </c:pt>
                <c:pt idx="2">
                  <c:v>11.895619999999999</c:v>
                </c:pt>
                <c:pt idx="3">
                  <c:v>11.868320000000001</c:v>
                </c:pt>
                <c:pt idx="4">
                  <c:v>11.82342</c:v>
                </c:pt>
                <c:pt idx="5">
                  <c:v>11.784972</c:v>
                </c:pt>
                <c:pt idx="6">
                  <c:v>11.7219</c:v>
                </c:pt>
                <c:pt idx="7">
                  <c:v>11.613516000000001</c:v>
                </c:pt>
                <c:pt idx="8">
                  <c:v>11.476820999999999</c:v>
                </c:pt>
                <c:pt idx="9">
                  <c:v>11.23291</c:v>
                </c:pt>
                <c:pt idx="10">
                  <c:v>10.859260000000001</c:v>
                </c:pt>
                <c:pt idx="11">
                  <c:v>10.215210000000001</c:v>
                </c:pt>
                <c:pt idx="12">
                  <c:v>9.2172099999999997</c:v>
                </c:pt>
                <c:pt idx="13">
                  <c:v>7.7319100000000001</c:v>
                </c:pt>
                <c:pt idx="14">
                  <c:v>6.1654999999999998</c:v>
                </c:pt>
                <c:pt idx="15">
                  <c:v>4.5521399999999996</c:v>
                </c:pt>
                <c:pt idx="16">
                  <c:v>2.7983500000000001</c:v>
                </c:pt>
                <c:pt idx="17">
                  <c:v>1.2512315000000001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4-4D7A-A5C0-2DF4C7F00CAD}"/>
            </c:ext>
          </c:extLst>
        </c:ser>
        <c:ser>
          <c:idx val="0"/>
          <c:order val="1"/>
          <c:tx>
            <c:v>Rн = 12 Ом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Лист1!$I$2:$I$20</c:f>
              <c:numCache>
                <c:formatCode>General</c:formatCode>
                <c:ptCount val="1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24</c:v>
                </c:pt>
                <c:pt idx="9">
                  <c:v>20</c:v>
                </c:pt>
                <c:pt idx="10">
                  <c:v>17.5</c:v>
                </c:pt>
                <c:pt idx="11">
                  <c:v>15</c:v>
                </c:pt>
                <c:pt idx="12">
                  <c:v>13.5</c:v>
                </c:pt>
                <c:pt idx="13">
                  <c:v>12.5</c:v>
                </c:pt>
                <c:pt idx="14">
                  <c:v>10</c:v>
                </c:pt>
                <c:pt idx="15">
                  <c:v>7.5</c:v>
                </c:pt>
                <c:pt idx="16">
                  <c:v>5</c:v>
                </c:pt>
                <c:pt idx="17">
                  <c:v>2.5</c:v>
                </c:pt>
                <c:pt idx="18">
                  <c:v>0</c:v>
                </c:pt>
              </c:numCache>
            </c:numRef>
          </c:xVal>
          <c:yVal>
            <c:numRef>
              <c:f>Лист1!$J$2:$J$20</c:f>
              <c:numCache>
                <c:formatCode>General</c:formatCode>
                <c:ptCount val="19"/>
                <c:pt idx="0">
                  <c:v>12.131600000000001</c:v>
                </c:pt>
                <c:pt idx="1">
                  <c:v>12.116099999999999</c:v>
                </c:pt>
                <c:pt idx="2">
                  <c:v>12.098800000000001</c:v>
                </c:pt>
                <c:pt idx="3">
                  <c:v>12.079000000000001</c:v>
                </c:pt>
                <c:pt idx="4">
                  <c:v>12.056100000000001</c:v>
                </c:pt>
                <c:pt idx="5">
                  <c:v>12.0289</c:v>
                </c:pt>
                <c:pt idx="6">
                  <c:v>11.995100000000001</c:v>
                </c:pt>
                <c:pt idx="7">
                  <c:v>11.950900000000001</c:v>
                </c:pt>
                <c:pt idx="8">
                  <c:v>11.901899999999999</c:v>
                </c:pt>
                <c:pt idx="9">
                  <c:v>11.7905</c:v>
                </c:pt>
                <c:pt idx="10">
                  <c:v>11.5223</c:v>
                </c:pt>
                <c:pt idx="11">
                  <c:v>10.956709999999999</c:v>
                </c:pt>
                <c:pt idx="12">
                  <c:v>10.268800000000001</c:v>
                </c:pt>
                <c:pt idx="13">
                  <c:v>9.4654600000000002</c:v>
                </c:pt>
                <c:pt idx="14">
                  <c:v>7.4275099999999998</c:v>
                </c:pt>
                <c:pt idx="15">
                  <c:v>5.3452900000000003</c:v>
                </c:pt>
                <c:pt idx="16">
                  <c:v>3.3547199999999999</c:v>
                </c:pt>
                <c:pt idx="17">
                  <c:v>1.51203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4-4D7A-A5C0-2DF4C7F00CAD}"/>
            </c:ext>
          </c:extLst>
        </c:ser>
        <c:ser>
          <c:idx val="2"/>
          <c:order val="2"/>
          <c:tx>
            <c:v>Rн = 24 Ом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Лист1!$N$24:$N$45</c:f>
              <c:numCache>
                <c:formatCode>General</c:formatCode>
                <c:ptCount val="22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24</c:v>
                </c:pt>
                <c:pt idx="9">
                  <c:v>20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8.5</c:v>
                </c:pt>
                <c:pt idx="17">
                  <c:v>7.5</c:v>
                </c:pt>
                <c:pt idx="18">
                  <c:v>6.5</c:v>
                </c:pt>
                <c:pt idx="19">
                  <c:v>5</c:v>
                </c:pt>
                <c:pt idx="20">
                  <c:v>2.5</c:v>
                </c:pt>
                <c:pt idx="21">
                  <c:v>0</c:v>
                </c:pt>
              </c:numCache>
            </c:numRef>
          </c:xVal>
          <c:yVal>
            <c:numRef>
              <c:f>Лист1!$O$24:$O$45</c:f>
              <c:numCache>
                <c:formatCode>General</c:formatCode>
                <c:ptCount val="22"/>
                <c:pt idx="0">
                  <c:v>12.131600000000001</c:v>
                </c:pt>
                <c:pt idx="1">
                  <c:v>12.116199999999999</c:v>
                </c:pt>
                <c:pt idx="2">
                  <c:v>12.098800000000001</c:v>
                </c:pt>
                <c:pt idx="3">
                  <c:v>12.0791</c:v>
                </c:pt>
                <c:pt idx="4">
                  <c:v>12.056100000000001</c:v>
                </c:pt>
                <c:pt idx="5">
                  <c:v>12.0289</c:v>
                </c:pt>
                <c:pt idx="6">
                  <c:v>11.995100000000001</c:v>
                </c:pt>
                <c:pt idx="7">
                  <c:v>11.951000000000001</c:v>
                </c:pt>
                <c:pt idx="8">
                  <c:v>11.916</c:v>
                </c:pt>
                <c:pt idx="9">
                  <c:v>11.886699999999999</c:v>
                </c:pt>
                <c:pt idx="10">
                  <c:v>11.793710000000001</c:v>
                </c:pt>
                <c:pt idx="11">
                  <c:v>11.51521</c:v>
                </c:pt>
                <c:pt idx="12">
                  <c:v>10.991720000000001</c:v>
                </c:pt>
                <c:pt idx="13">
                  <c:v>10.5587</c:v>
                </c:pt>
                <c:pt idx="14">
                  <c:v>9.86721</c:v>
                </c:pt>
                <c:pt idx="15">
                  <c:v>8.9801000000000002</c:v>
                </c:pt>
                <c:pt idx="16">
                  <c:v>7.5921399999999997</c:v>
                </c:pt>
                <c:pt idx="17">
                  <c:v>6.7131559999999997</c:v>
                </c:pt>
                <c:pt idx="18">
                  <c:v>5.6745210000000004</c:v>
                </c:pt>
                <c:pt idx="19">
                  <c:v>4.3223500000000001</c:v>
                </c:pt>
                <c:pt idx="20">
                  <c:v>1.9750970000000001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4-4D7A-A5C0-2DF4C7F00CAD}"/>
            </c:ext>
          </c:extLst>
        </c:ser>
        <c:ser>
          <c:idx val="3"/>
          <c:order val="3"/>
          <c:tx>
            <c:v>Rн =  ∞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Лист1!$S$29:$S$52</c:f>
              <c:numCache>
                <c:formatCode>General</c:formatCode>
                <c:ptCount val="24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24</c:v>
                </c:pt>
                <c:pt idx="9">
                  <c:v>20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8.5</c:v>
                </c:pt>
                <c:pt idx="18">
                  <c:v>7.5</c:v>
                </c:pt>
                <c:pt idx="19">
                  <c:v>6.5</c:v>
                </c:pt>
                <c:pt idx="20">
                  <c:v>5</c:v>
                </c:pt>
                <c:pt idx="21">
                  <c:v>3.5</c:v>
                </c:pt>
                <c:pt idx="22">
                  <c:v>2.5</c:v>
                </c:pt>
                <c:pt idx="23">
                  <c:v>0</c:v>
                </c:pt>
              </c:numCache>
            </c:numRef>
          </c:xVal>
          <c:yVal>
            <c:numRef>
              <c:f>Лист1!$T$29:$T$52</c:f>
              <c:numCache>
                <c:formatCode>General</c:formatCode>
                <c:ptCount val="24"/>
                <c:pt idx="0">
                  <c:v>12.131600000000001</c:v>
                </c:pt>
                <c:pt idx="1">
                  <c:v>12.116199999999999</c:v>
                </c:pt>
                <c:pt idx="2">
                  <c:v>12.098800000000001</c:v>
                </c:pt>
                <c:pt idx="3">
                  <c:v>12.0792</c:v>
                </c:pt>
                <c:pt idx="4">
                  <c:v>12.0562</c:v>
                </c:pt>
                <c:pt idx="5">
                  <c:v>12.0289</c:v>
                </c:pt>
                <c:pt idx="6">
                  <c:v>11.995100000000001</c:v>
                </c:pt>
                <c:pt idx="7">
                  <c:v>11.951000000000001</c:v>
                </c:pt>
                <c:pt idx="8">
                  <c:v>11.916</c:v>
                </c:pt>
                <c:pt idx="9">
                  <c:v>11.896800000000001</c:v>
                </c:pt>
                <c:pt idx="10">
                  <c:v>11.8767</c:v>
                </c:pt>
                <c:pt idx="11">
                  <c:v>11.8192</c:v>
                </c:pt>
                <c:pt idx="12">
                  <c:v>11.632099999999999</c:v>
                </c:pt>
                <c:pt idx="13">
                  <c:v>11.353260000000001</c:v>
                </c:pt>
                <c:pt idx="14">
                  <c:v>10.89514</c:v>
                </c:pt>
                <c:pt idx="15">
                  <c:v>10.23462</c:v>
                </c:pt>
                <c:pt idx="16">
                  <c:v>9.5518599999999996</c:v>
                </c:pt>
                <c:pt idx="17">
                  <c:v>8.9834999999999994</c:v>
                </c:pt>
                <c:pt idx="18">
                  <c:v>7.9957099999999999</c:v>
                </c:pt>
                <c:pt idx="19">
                  <c:v>6.8875609999999998</c:v>
                </c:pt>
                <c:pt idx="20">
                  <c:v>5.2526400000000004</c:v>
                </c:pt>
                <c:pt idx="21">
                  <c:v>3.5703499999999999</c:v>
                </c:pt>
                <c:pt idx="22">
                  <c:v>2.5315599999999998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4-4D7A-A5C0-2DF4C7F00CAD}"/>
            </c:ext>
          </c:extLst>
        </c:ser>
        <c:ser>
          <c:idx val="4"/>
          <c:order val="4"/>
          <c:tx>
            <c:v>Uвх = 40 В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DB4-4D7A-A5C0-2DF4C7F00CA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DB4-4D7A-A5C0-2DF4C7F00CAD}"/>
              </c:ext>
            </c:extLst>
          </c:dPt>
          <c:xVal>
            <c:numRef>
              <c:f>Лист1!$AA$27:$AA$28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xVal>
          <c:yVal>
            <c:numRef>
              <c:f>Лист1!$Z$27:$Z$28</c:f>
              <c:numCache>
                <c:formatCode>General</c:formatCode>
                <c:ptCount val="2"/>
                <c:pt idx="0">
                  <c:v>0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4-4D7A-A5C0-2DF4C7F00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269504"/>
        <c:axId val="475905600"/>
      </c:scatterChart>
      <c:valAx>
        <c:axId val="382269504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905600"/>
        <c:crosses val="autoZero"/>
        <c:crossBetween val="midCat"/>
      </c:valAx>
      <c:valAx>
        <c:axId val="475905600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226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5972438420446"/>
          <c:y val="0.4119773421695524"/>
          <c:w val="0.11692125940419321"/>
          <c:h val="0.2381365625638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42536256658797E-2"/>
          <c:y val="3.2657920938399115E-2"/>
          <c:w val="0.88826421014691359"/>
          <c:h val="0.91642676141769364"/>
        </c:manualLayout>
      </c:layout>
      <c:scatterChart>
        <c:scatterStyle val="lineMarker"/>
        <c:varyColors val="0"/>
        <c:ser>
          <c:idx val="1"/>
          <c:order val="0"/>
          <c:tx>
            <c:v>Uвх = 28 В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Лист3!$C$33:$C$59</c:f>
              <c:numCache>
                <c:formatCode>General</c:formatCode>
                <c:ptCount val="27"/>
                <c:pt idx="0">
                  <c:v>0</c:v>
                </c:pt>
                <c:pt idx="1">
                  <c:v>0.11940200000000001</c:v>
                </c:pt>
                <c:pt idx="2">
                  <c:v>0.17057428571428573</c:v>
                </c:pt>
                <c:pt idx="3">
                  <c:v>0.19900333333333334</c:v>
                </c:pt>
                <c:pt idx="4">
                  <c:v>0.23880400000000002</c:v>
                </c:pt>
                <c:pt idx="5">
                  <c:v>0.29850500000000002</c:v>
                </c:pt>
                <c:pt idx="6">
                  <c:v>0.39800666666666668</c:v>
                </c:pt>
                <c:pt idx="7">
                  <c:v>0.59701000000000004</c:v>
                </c:pt>
                <c:pt idx="8">
                  <c:v>0.68229714285714294</c:v>
                </c:pt>
                <c:pt idx="9">
                  <c:v>0.79601333333333335</c:v>
                </c:pt>
                <c:pt idx="10">
                  <c:v>0.88445925925925928</c:v>
                </c:pt>
                <c:pt idx="11">
                  <c:v>0.99501666666666677</c:v>
                </c:pt>
                <c:pt idx="12">
                  <c:v>1.0379565217391304</c:v>
                </c:pt>
                <c:pt idx="13">
                  <c:v>1.1291047619047621</c:v>
                </c:pt>
                <c:pt idx="14">
                  <c:v>1.1690122999999999</c:v>
                </c:pt>
                <c:pt idx="15">
                  <c:v>1.1972315789473684</c:v>
                </c:pt>
                <c:pt idx="16">
                  <c:v>1.2115688888888889</c:v>
                </c:pt>
                <c:pt idx="17">
                  <c:v>1.2210588235294118</c:v>
                </c:pt>
                <c:pt idx="18">
                  <c:v>1.22815875</c:v>
                </c:pt>
                <c:pt idx="19">
                  <c:v>1.2405442857142857</c:v>
                </c:pt>
                <c:pt idx="20">
                  <c:v>1.2542116666666667</c:v>
                </c:pt>
                <c:pt idx="21">
                  <c:v>1.2650140000000001</c:v>
                </c:pt>
                <c:pt idx="22">
                  <c:v>1.2768275</c:v>
                </c:pt>
                <c:pt idx="23">
                  <c:v>1.2897100000000001</c:v>
                </c:pt>
                <c:pt idx="24">
                  <c:v>1.3025249999999999</c:v>
                </c:pt>
                <c:pt idx="25">
                  <c:v>1.3161799999999999</c:v>
                </c:pt>
                <c:pt idx="26">
                  <c:v>1.3294299999999999</c:v>
                </c:pt>
              </c:numCache>
            </c:numRef>
          </c:xVal>
          <c:yVal>
            <c:numRef>
              <c:f>Лист3!$B$33:$B$59</c:f>
              <c:numCache>
                <c:formatCode>General</c:formatCode>
                <c:ptCount val="27"/>
                <c:pt idx="0">
                  <c:v>11.940200000000001</c:v>
                </c:pt>
                <c:pt idx="1">
                  <c:v>11.940200000000001</c:v>
                </c:pt>
                <c:pt idx="2">
                  <c:v>11.940200000000001</c:v>
                </c:pt>
                <c:pt idx="3">
                  <c:v>11.940200000000001</c:v>
                </c:pt>
                <c:pt idx="4">
                  <c:v>11.940200000000001</c:v>
                </c:pt>
                <c:pt idx="5">
                  <c:v>11.940200000000001</c:v>
                </c:pt>
                <c:pt idx="6">
                  <c:v>11.940200000000001</c:v>
                </c:pt>
                <c:pt idx="7">
                  <c:v>11.940200000000001</c:v>
                </c:pt>
                <c:pt idx="8">
                  <c:v>11.940200000000001</c:v>
                </c:pt>
                <c:pt idx="9">
                  <c:v>11.940200000000001</c:v>
                </c:pt>
                <c:pt idx="10">
                  <c:v>11.940200000000001</c:v>
                </c:pt>
                <c:pt idx="11">
                  <c:v>11.940200000000001</c:v>
                </c:pt>
                <c:pt idx="12">
                  <c:v>11.936500000000001</c:v>
                </c:pt>
                <c:pt idx="13">
                  <c:v>11.855600000000001</c:v>
                </c:pt>
                <c:pt idx="14">
                  <c:v>11.690123</c:v>
                </c:pt>
                <c:pt idx="15">
                  <c:v>11.373699999999999</c:v>
                </c:pt>
                <c:pt idx="16">
                  <c:v>10.904120000000001</c:v>
                </c:pt>
                <c:pt idx="17">
                  <c:v>10.379</c:v>
                </c:pt>
                <c:pt idx="18">
                  <c:v>9.8252699999999997</c:v>
                </c:pt>
                <c:pt idx="19">
                  <c:v>8.6838099999999994</c:v>
                </c:pt>
                <c:pt idx="20">
                  <c:v>7.5252699999999999</c:v>
                </c:pt>
                <c:pt idx="21">
                  <c:v>6.3250700000000002</c:v>
                </c:pt>
                <c:pt idx="22">
                  <c:v>5.10731</c:v>
                </c:pt>
                <c:pt idx="23">
                  <c:v>3.8691300000000002</c:v>
                </c:pt>
                <c:pt idx="24">
                  <c:v>2.6050499999999999</c:v>
                </c:pt>
                <c:pt idx="25">
                  <c:v>1.3161799999999999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0-4909-8731-ED3E9D1C605D}"/>
            </c:ext>
          </c:extLst>
        </c:ser>
        <c:ser>
          <c:idx val="0"/>
          <c:order val="1"/>
          <c:tx>
            <c:v>Uвх = 40 В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Лист3!$C$2:$C$29</c:f>
              <c:numCache>
                <c:formatCode>General</c:formatCode>
                <c:ptCount val="28"/>
                <c:pt idx="0">
                  <c:v>0</c:v>
                </c:pt>
                <c:pt idx="1">
                  <c:v>0.119951</c:v>
                </c:pt>
                <c:pt idx="2">
                  <c:v>0.17135857142857144</c:v>
                </c:pt>
                <c:pt idx="3">
                  <c:v>0.19991833333333334</c:v>
                </c:pt>
                <c:pt idx="4">
                  <c:v>0.239902</c:v>
                </c:pt>
                <c:pt idx="5">
                  <c:v>0.29987750000000002</c:v>
                </c:pt>
                <c:pt idx="6">
                  <c:v>0.39983666666666667</c:v>
                </c:pt>
                <c:pt idx="7">
                  <c:v>0.59975500000000004</c:v>
                </c:pt>
                <c:pt idx="8">
                  <c:v>0.68543428571428577</c:v>
                </c:pt>
                <c:pt idx="9">
                  <c:v>0.79967333333333335</c:v>
                </c:pt>
                <c:pt idx="10">
                  <c:v>0.88852592592592594</c:v>
                </c:pt>
                <c:pt idx="11">
                  <c:v>0.99959166666666677</c:v>
                </c:pt>
                <c:pt idx="12">
                  <c:v>1.0430434782608695</c:v>
                </c:pt>
                <c:pt idx="13">
                  <c:v>1.19421</c:v>
                </c:pt>
                <c:pt idx="14">
                  <c:v>1.2517168421052631</c:v>
                </c:pt>
                <c:pt idx="15">
                  <c:v>1.2805524324324324</c:v>
                </c:pt>
                <c:pt idx="16">
                  <c:v>1.3065933333333333</c:v>
                </c:pt>
                <c:pt idx="17">
                  <c:v>1.3237828571428572</c:v>
                </c:pt>
                <c:pt idx="18">
                  <c:v>1.3336588235294118</c:v>
                </c:pt>
                <c:pt idx="19">
                  <c:v>1.3447499999999999</c:v>
                </c:pt>
                <c:pt idx="20">
                  <c:v>1.3578447285714286</c:v>
                </c:pt>
                <c:pt idx="21">
                  <c:v>1.3711966666666668</c:v>
                </c:pt>
                <c:pt idx="22">
                  <c:v>1.386002</c:v>
                </c:pt>
                <c:pt idx="23">
                  <c:v>1.4003000000000001</c:v>
                </c:pt>
                <c:pt idx="24">
                  <c:v>1.4133733333333334</c:v>
                </c:pt>
                <c:pt idx="25">
                  <c:v>1.4262900000000001</c:v>
                </c:pt>
                <c:pt idx="26">
                  <c:v>1.4399</c:v>
                </c:pt>
                <c:pt idx="27">
                  <c:v>1.4540299999999999</c:v>
                </c:pt>
              </c:numCache>
            </c:numRef>
          </c:xVal>
          <c:yVal>
            <c:numRef>
              <c:f>Лист3!$B$2:$B$29</c:f>
              <c:numCache>
                <c:formatCode>General</c:formatCode>
                <c:ptCount val="28"/>
                <c:pt idx="0">
                  <c:v>11.995100000000001</c:v>
                </c:pt>
                <c:pt idx="1">
                  <c:v>11.995100000000001</c:v>
                </c:pt>
                <c:pt idx="2">
                  <c:v>11.995100000000001</c:v>
                </c:pt>
                <c:pt idx="3">
                  <c:v>11.995100000000001</c:v>
                </c:pt>
                <c:pt idx="4">
                  <c:v>11.995100000000001</c:v>
                </c:pt>
                <c:pt idx="5">
                  <c:v>11.995100000000001</c:v>
                </c:pt>
                <c:pt idx="6">
                  <c:v>11.995100000000001</c:v>
                </c:pt>
                <c:pt idx="7">
                  <c:v>11.995100000000001</c:v>
                </c:pt>
                <c:pt idx="8">
                  <c:v>11.995100000000001</c:v>
                </c:pt>
                <c:pt idx="9">
                  <c:v>11.995100000000001</c:v>
                </c:pt>
                <c:pt idx="10">
                  <c:v>11.995100000000001</c:v>
                </c:pt>
                <c:pt idx="11">
                  <c:v>11.995100000000001</c:v>
                </c:pt>
                <c:pt idx="12">
                  <c:v>11.994999999999999</c:v>
                </c:pt>
                <c:pt idx="13">
                  <c:v>11.9421</c:v>
                </c:pt>
                <c:pt idx="14">
                  <c:v>11.891310000000001</c:v>
                </c:pt>
                <c:pt idx="15">
                  <c:v>11.84511</c:v>
                </c:pt>
                <c:pt idx="16">
                  <c:v>11.75934</c:v>
                </c:pt>
                <c:pt idx="17">
                  <c:v>11.5831</c:v>
                </c:pt>
                <c:pt idx="18">
                  <c:v>11.3361</c:v>
                </c:pt>
                <c:pt idx="19">
                  <c:v>10.757999999999999</c:v>
                </c:pt>
                <c:pt idx="20">
                  <c:v>9.5049130999999996</c:v>
                </c:pt>
                <c:pt idx="21">
                  <c:v>8.2271800000000006</c:v>
                </c:pt>
                <c:pt idx="22">
                  <c:v>6.9300100000000002</c:v>
                </c:pt>
                <c:pt idx="23">
                  <c:v>5.6012000000000004</c:v>
                </c:pt>
                <c:pt idx="24">
                  <c:v>4.2401200000000001</c:v>
                </c:pt>
                <c:pt idx="25">
                  <c:v>2.8525800000000001</c:v>
                </c:pt>
                <c:pt idx="26">
                  <c:v>1.4399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C0-4909-8731-ED3E9D1C605D}"/>
            </c:ext>
          </c:extLst>
        </c:ser>
        <c:ser>
          <c:idx val="2"/>
          <c:order val="2"/>
          <c:tx>
            <c:v>Uвх = 60 В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Лист3!$C$62:$C$92</c:f>
              <c:numCache>
                <c:formatCode>General</c:formatCode>
                <c:ptCount val="31"/>
                <c:pt idx="0">
                  <c:v>0</c:v>
                </c:pt>
                <c:pt idx="1">
                  <c:v>0.120561</c:v>
                </c:pt>
                <c:pt idx="2">
                  <c:v>0.17223000000000002</c:v>
                </c:pt>
                <c:pt idx="3">
                  <c:v>0.200935</c:v>
                </c:pt>
                <c:pt idx="4">
                  <c:v>0.241122</c:v>
                </c:pt>
                <c:pt idx="5">
                  <c:v>0.30140250000000002</c:v>
                </c:pt>
                <c:pt idx="6">
                  <c:v>0.40187</c:v>
                </c:pt>
                <c:pt idx="7">
                  <c:v>0.60280500000000004</c:v>
                </c:pt>
                <c:pt idx="8">
                  <c:v>0.68892000000000009</c:v>
                </c:pt>
                <c:pt idx="9">
                  <c:v>0.80374000000000001</c:v>
                </c:pt>
                <c:pt idx="10">
                  <c:v>0.89304444444444453</c:v>
                </c:pt>
                <c:pt idx="11">
                  <c:v>1.004675</c:v>
                </c:pt>
                <c:pt idx="12">
                  <c:v>1.0480869565217392</c:v>
                </c:pt>
                <c:pt idx="13">
                  <c:v>1.1466761904761906</c:v>
                </c:pt>
                <c:pt idx="14">
                  <c:v>1.20401</c:v>
                </c:pt>
                <c:pt idx="15">
                  <c:v>1.2673789473684212</c:v>
                </c:pt>
                <c:pt idx="16">
                  <c:v>1.3377888888888889</c:v>
                </c:pt>
                <c:pt idx="17">
                  <c:v>1.4142588235294118</c:v>
                </c:pt>
                <c:pt idx="18">
                  <c:v>1.454681212121212</c:v>
                </c:pt>
                <c:pt idx="19">
                  <c:v>1.4918875</c:v>
                </c:pt>
                <c:pt idx="20">
                  <c:v>1.5205290322580647</c:v>
                </c:pt>
                <c:pt idx="21">
                  <c:v>1.5385494666666666</c:v>
                </c:pt>
                <c:pt idx="22">
                  <c:v>1.5522557142857143</c:v>
                </c:pt>
                <c:pt idx="23">
                  <c:v>1.5598461538461537</c:v>
                </c:pt>
                <c:pt idx="24">
                  <c:v>1.5666500000000001</c:v>
                </c:pt>
                <c:pt idx="25">
                  <c:v>1.5798700000000001</c:v>
                </c:pt>
                <c:pt idx="26">
                  <c:v>1.596225</c:v>
                </c:pt>
                <c:pt idx="27">
                  <c:v>1.6123666666666667</c:v>
                </c:pt>
                <c:pt idx="28">
                  <c:v>1.6294999999999999</c:v>
                </c:pt>
                <c:pt idx="29">
                  <c:v>1.6454299999999999</c:v>
                </c:pt>
                <c:pt idx="30">
                  <c:v>1.6605000000000001</c:v>
                </c:pt>
              </c:numCache>
            </c:numRef>
          </c:xVal>
          <c:yVal>
            <c:numRef>
              <c:f>Лист3!$B$62:$B$92</c:f>
              <c:numCache>
                <c:formatCode>General</c:formatCode>
                <c:ptCount val="31"/>
                <c:pt idx="0">
                  <c:v>12.0562</c:v>
                </c:pt>
                <c:pt idx="1">
                  <c:v>12.056100000000001</c:v>
                </c:pt>
                <c:pt idx="2">
                  <c:v>12.056100000000001</c:v>
                </c:pt>
                <c:pt idx="3">
                  <c:v>12.056100000000001</c:v>
                </c:pt>
                <c:pt idx="4">
                  <c:v>12.056100000000001</c:v>
                </c:pt>
                <c:pt idx="5">
                  <c:v>12.056100000000001</c:v>
                </c:pt>
                <c:pt idx="6">
                  <c:v>12.056100000000001</c:v>
                </c:pt>
                <c:pt idx="7">
                  <c:v>12.056100000000001</c:v>
                </c:pt>
                <c:pt idx="8">
                  <c:v>12.056100000000001</c:v>
                </c:pt>
                <c:pt idx="9">
                  <c:v>12.056100000000001</c:v>
                </c:pt>
                <c:pt idx="10">
                  <c:v>12.056100000000001</c:v>
                </c:pt>
                <c:pt idx="11">
                  <c:v>12.056100000000001</c:v>
                </c:pt>
                <c:pt idx="12">
                  <c:v>12.053000000000001</c:v>
                </c:pt>
                <c:pt idx="13">
                  <c:v>12.040100000000001</c:v>
                </c:pt>
                <c:pt idx="14">
                  <c:v>12.040100000000001</c:v>
                </c:pt>
                <c:pt idx="15">
                  <c:v>12.040100000000001</c:v>
                </c:pt>
                <c:pt idx="16">
                  <c:v>12.040100000000001</c:v>
                </c:pt>
                <c:pt idx="17">
                  <c:v>12.0212</c:v>
                </c:pt>
                <c:pt idx="18">
                  <c:v>12.00112</c:v>
                </c:pt>
                <c:pt idx="19">
                  <c:v>11.9351</c:v>
                </c:pt>
                <c:pt idx="20">
                  <c:v>11.7841</c:v>
                </c:pt>
                <c:pt idx="21">
                  <c:v>11.539121</c:v>
                </c:pt>
                <c:pt idx="22">
                  <c:v>10.865790000000001</c:v>
                </c:pt>
                <c:pt idx="23">
                  <c:v>10.138999999999999</c:v>
                </c:pt>
                <c:pt idx="24">
                  <c:v>9.3999000000000006</c:v>
                </c:pt>
                <c:pt idx="25">
                  <c:v>7.8993500000000001</c:v>
                </c:pt>
                <c:pt idx="26">
                  <c:v>6.3849</c:v>
                </c:pt>
                <c:pt idx="27">
                  <c:v>4.8371000000000004</c:v>
                </c:pt>
                <c:pt idx="28">
                  <c:v>3.2589999999999999</c:v>
                </c:pt>
                <c:pt idx="29">
                  <c:v>1.6454299999999999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C0-4909-8731-ED3E9D1C605D}"/>
            </c:ext>
          </c:extLst>
        </c:ser>
        <c:ser>
          <c:idx val="3"/>
          <c:order val="3"/>
          <c:tx>
            <c:v>ВАХ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Лист3!$I$35:$J$35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Лист3!$I$36:$J$36</c:f>
              <c:numCache>
                <c:formatCode>General</c:formatCode>
                <c:ptCount val="2"/>
                <c:pt idx="0">
                  <c:v>0</c:v>
                </c:pt>
                <c:pt idx="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C0-4909-8731-ED3E9D1C6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67712"/>
        <c:axId val="147145696"/>
      </c:scatterChart>
      <c:valAx>
        <c:axId val="95967712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145696"/>
        <c:crosses val="autoZero"/>
        <c:crossBetween val="midCat"/>
      </c:valAx>
      <c:valAx>
        <c:axId val="147145696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967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05531479419519"/>
          <c:y val="7.8458242586500276E-2"/>
          <c:w val="0.16976611625231589"/>
          <c:h val="0.219284386597166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225974850677185E-2"/>
          <c:y val="3.1045734567192014E-2"/>
          <c:w val="0.93903278813582036"/>
          <c:h val="0.9034808779831518"/>
        </c:manualLayout>
      </c:layout>
      <c:scatterChart>
        <c:scatterStyle val="lineMarker"/>
        <c:varyColors val="0"/>
        <c:ser>
          <c:idx val="1"/>
          <c:order val="0"/>
          <c:tx>
            <c:v>Rн = 6 Ом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Лист3!$N$2:$N$20</c:f>
              <c:numCache>
                <c:formatCode>General</c:formatCode>
                <c:ptCount val="1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25</c:v>
                </c:pt>
                <c:pt idx="9">
                  <c:v>22</c:v>
                </c:pt>
                <c:pt idx="10">
                  <c:v>19.5</c:v>
                </c:pt>
                <c:pt idx="11">
                  <c:v>17.5</c:v>
                </c:pt>
                <c:pt idx="12">
                  <c:v>15</c:v>
                </c:pt>
                <c:pt idx="13">
                  <c:v>12.5</c:v>
                </c:pt>
                <c:pt idx="14">
                  <c:v>10</c:v>
                </c:pt>
                <c:pt idx="15">
                  <c:v>7.5</c:v>
                </c:pt>
                <c:pt idx="16">
                  <c:v>5</c:v>
                </c:pt>
                <c:pt idx="17">
                  <c:v>2.5</c:v>
                </c:pt>
                <c:pt idx="18">
                  <c:v>0</c:v>
                </c:pt>
              </c:numCache>
            </c:numRef>
          </c:xVal>
          <c:yVal>
            <c:numRef>
              <c:f>Лист3!$O$2:$O$20</c:f>
              <c:numCache>
                <c:formatCode>General</c:formatCode>
                <c:ptCount val="19"/>
                <c:pt idx="0">
                  <c:v>11.969200000000001</c:v>
                </c:pt>
                <c:pt idx="1">
                  <c:v>11.924200000000001</c:v>
                </c:pt>
                <c:pt idx="2">
                  <c:v>11.895619999999999</c:v>
                </c:pt>
                <c:pt idx="3">
                  <c:v>11.868320000000001</c:v>
                </c:pt>
                <c:pt idx="4">
                  <c:v>11.82342</c:v>
                </c:pt>
                <c:pt idx="5">
                  <c:v>11.784972</c:v>
                </c:pt>
                <c:pt idx="6">
                  <c:v>11.7219</c:v>
                </c:pt>
                <c:pt idx="7">
                  <c:v>11.613516000000001</c:v>
                </c:pt>
                <c:pt idx="8">
                  <c:v>11.476820999999999</c:v>
                </c:pt>
                <c:pt idx="9">
                  <c:v>11.23291</c:v>
                </c:pt>
                <c:pt idx="10">
                  <c:v>10.859260000000001</c:v>
                </c:pt>
                <c:pt idx="11">
                  <c:v>10.215210000000001</c:v>
                </c:pt>
                <c:pt idx="12">
                  <c:v>9.2172099999999997</c:v>
                </c:pt>
                <c:pt idx="13">
                  <c:v>7.7319100000000001</c:v>
                </c:pt>
                <c:pt idx="14">
                  <c:v>6.1654999999999998</c:v>
                </c:pt>
                <c:pt idx="15">
                  <c:v>4.5521399999999996</c:v>
                </c:pt>
                <c:pt idx="16">
                  <c:v>2.7983500000000001</c:v>
                </c:pt>
                <c:pt idx="17">
                  <c:v>1.2512315000000001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6-4D6E-9A3B-415951F0C940}"/>
            </c:ext>
          </c:extLst>
        </c:ser>
        <c:ser>
          <c:idx val="0"/>
          <c:order val="1"/>
          <c:tx>
            <c:v>Rн = 12 Ом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Лист3!$I$2:$I$20</c:f>
              <c:numCache>
                <c:formatCode>General</c:formatCode>
                <c:ptCount val="19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24</c:v>
                </c:pt>
                <c:pt idx="9">
                  <c:v>20</c:v>
                </c:pt>
                <c:pt idx="10">
                  <c:v>17.5</c:v>
                </c:pt>
                <c:pt idx="11">
                  <c:v>15</c:v>
                </c:pt>
                <c:pt idx="12">
                  <c:v>13.5</c:v>
                </c:pt>
                <c:pt idx="13">
                  <c:v>12.5</c:v>
                </c:pt>
                <c:pt idx="14">
                  <c:v>10</c:v>
                </c:pt>
                <c:pt idx="15">
                  <c:v>7.5</c:v>
                </c:pt>
                <c:pt idx="16">
                  <c:v>5</c:v>
                </c:pt>
                <c:pt idx="17">
                  <c:v>2.5</c:v>
                </c:pt>
                <c:pt idx="18">
                  <c:v>0</c:v>
                </c:pt>
              </c:numCache>
            </c:numRef>
          </c:xVal>
          <c:yVal>
            <c:numRef>
              <c:f>Лист3!$J$2:$J$20</c:f>
              <c:numCache>
                <c:formatCode>General</c:formatCode>
                <c:ptCount val="19"/>
                <c:pt idx="0">
                  <c:v>12.131600000000001</c:v>
                </c:pt>
                <c:pt idx="1">
                  <c:v>12.116099999999999</c:v>
                </c:pt>
                <c:pt idx="2">
                  <c:v>12.098800000000001</c:v>
                </c:pt>
                <c:pt idx="3">
                  <c:v>12.079000000000001</c:v>
                </c:pt>
                <c:pt idx="4">
                  <c:v>12.056100000000001</c:v>
                </c:pt>
                <c:pt idx="5">
                  <c:v>12.0289</c:v>
                </c:pt>
                <c:pt idx="6">
                  <c:v>11.995100000000001</c:v>
                </c:pt>
                <c:pt idx="7">
                  <c:v>11.950900000000001</c:v>
                </c:pt>
                <c:pt idx="8">
                  <c:v>11.901899999999999</c:v>
                </c:pt>
                <c:pt idx="9">
                  <c:v>11.7905</c:v>
                </c:pt>
                <c:pt idx="10">
                  <c:v>11.5223</c:v>
                </c:pt>
                <c:pt idx="11">
                  <c:v>10.956709999999999</c:v>
                </c:pt>
                <c:pt idx="12">
                  <c:v>10.268800000000001</c:v>
                </c:pt>
                <c:pt idx="13">
                  <c:v>9.4654600000000002</c:v>
                </c:pt>
                <c:pt idx="14">
                  <c:v>7.4275099999999998</c:v>
                </c:pt>
                <c:pt idx="15">
                  <c:v>5.3452900000000003</c:v>
                </c:pt>
                <c:pt idx="16">
                  <c:v>3.3547199999999999</c:v>
                </c:pt>
                <c:pt idx="17">
                  <c:v>1.51203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6-4D6E-9A3B-415951F0C940}"/>
            </c:ext>
          </c:extLst>
        </c:ser>
        <c:ser>
          <c:idx val="2"/>
          <c:order val="2"/>
          <c:tx>
            <c:v>Rн = 24 Ом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Лист3!$N$24:$N$45</c:f>
              <c:numCache>
                <c:formatCode>General</c:formatCode>
                <c:ptCount val="22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24</c:v>
                </c:pt>
                <c:pt idx="9">
                  <c:v>20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8.5</c:v>
                </c:pt>
                <c:pt idx="17">
                  <c:v>7.5</c:v>
                </c:pt>
                <c:pt idx="18">
                  <c:v>6.5</c:v>
                </c:pt>
                <c:pt idx="19">
                  <c:v>5</c:v>
                </c:pt>
                <c:pt idx="20">
                  <c:v>2.5</c:v>
                </c:pt>
                <c:pt idx="21">
                  <c:v>0</c:v>
                </c:pt>
              </c:numCache>
            </c:numRef>
          </c:xVal>
          <c:yVal>
            <c:numRef>
              <c:f>Лист3!$O$24:$O$45</c:f>
              <c:numCache>
                <c:formatCode>General</c:formatCode>
                <c:ptCount val="22"/>
                <c:pt idx="0">
                  <c:v>12.131600000000001</c:v>
                </c:pt>
                <c:pt idx="1">
                  <c:v>12.116199999999999</c:v>
                </c:pt>
                <c:pt idx="2">
                  <c:v>12.098800000000001</c:v>
                </c:pt>
                <c:pt idx="3">
                  <c:v>12.0791</c:v>
                </c:pt>
                <c:pt idx="4">
                  <c:v>12.056100000000001</c:v>
                </c:pt>
                <c:pt idx="5">
                  <c:v>12.0289</c:v>
                </c:pt>
                <c:pt idx="6">
                  <c:v>11.995100000000001</c:v>
                </c:pt>
                <c:pt idx="7">
                  <c:v>11.951000000000001</c:v>
                </c:pt>
                <c:pt idx="8">
                  <c:v>11.916</c:v>
                </c:pt>
                <c:pt idx="9">
                  <c:v>11.886699999999999</c:v>
                </c:pt>
                <c:pt idx="10">
                  <c:v>11.793710000000001</c:v>
                </c:pt>
                <c:pt idx="11">
                  <c:v>11.51521</c:v>
                </c:pt>
                <c:pt idx="12">
                  <c:v>10.991720000000001</c:v>
                </c:pt>
                <c:pt idx="13">
                  <c:v>10.5587</c:v>
                </c:pt>
                <c:pt idx="14">
                  <c:v>9.86721</c:v>
                </c:pt>
                <c:pt idx="15">
                  <c:v>8.9801000000000002</c:v>
                </c:pt>
                <c:pt idx="16">
                  <c:v>7.5921399999999997</c:v>
                </c:pt>
                <c:pt idx="17">
                  <c:v>6.7131559999999997</c:v>
                </c:pt>
                <c:pt idx="18">
                  <c:v>5.6745210000000004</c:v>
                </c:pt>
                <c:pt idx="19">
                  <c:v>4.3223500000000001</c:v>
                </c:pt>
                <c:pt idx="20">
                  <c:v>1.9750970000000001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66-4D6E-9A3B-415951F0C940}"/>
            </c:ext>
          </c:extLst>
        </c:ser>
        <c:ser>
          <c:idx val="3"/>
          <c:order val="3"/>
          <c:tx>
            <c:v>Rн =  ∞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Лист3!$S$29:$S$52</c:f>
              <c:numCache>
                <c:formatCode>General</c:formatCode>
                <c:ptCount val="24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24</c:v>
                </c:pt>
                <c:pt idx="9">
                  <c:v>20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8.5</c:v>
                </c:pt>
                <c:pt idx="18">
                  <c:v>7.5</c:v>
                </c:pt>
                <c:pt idx="19">
                  <c:v>6.5</c:v>
                </c:pt>
                <c:pt idx="20">
                  <c:v>5</c:v>
                </c:pt>
                <c:pt idx="21">
                  <c:v>3.5</c:v>
                </c:pt>
                <c:pt idx="22">
                  <c:v>2.5</c:v>
                </c:pt>
                <c:pt idx="23">
                  <c:v>0</c:v>
                </c:pt>
              </c:numCache>
            </c:numRef>
          </c:xVal>
          <c:yVal>
            <c:numRef>
              <c:f>Лист3!$T$29:$T$52</c:f>
              <c:numCache>
                <c:formatCode>General</c:formatCode>
                <c:ptCount val="24"/>
                <c:pt idx="0">
                  <c:v>12.131600000000001</c:v>
                </c:pt>
                <c:pt idx="1">
                  <c:v>12.116199999999999</c:v>
                </c:pt>
                <c:pt idx="2">
                  <c:v>12.098800000000001</c:v>
                </c:pt>
                <c:pt idx="3">
                  <c:v>12.0792</c:v>
                </c:pt>
                <c:pt idx="4">
                  <c:v>12.0562</c:v>
                </c:pt>
                <c:pt idx="5">
                  <c:v>12.0289</c:v>
                </c:pt>
                <c:pt idx="6">
                  <c:v>11.995100000000001</c:v>
                </c:pt>
                <c:pt idx="7">
                  <c:v>11.951000000000001</c:v>
                </c:pt>
                <c:pt idx="8">
                  <c:v>11.916</c:v>
                </c:pt>
                <c:pt idx="9">
                  <c:v>11.896800000000001</c:v>
                </c:pt>
                <c:pt idx="10">
                  <c:v>11.8767</c:v>
                </c:pt>
                <c:pt idx="11">
                  <c:v>11.8192</c:v>
                </c:pt>
                <c:pt idx="12">
                  <c:v>11.632099999999999</c:v>
                </c:pt>
                <c:pt idx="13">
                  <c:v>11.353260000000001</c:v>
                </c:pt>
                <c:pt idx="14">
                  <c:v>10.89514</c:v>
                </c:pt>
                <c:pt idx="15">
                  <c:v>10.23462</c:v>
                </c:pt>
                <c:pt idx="16">
                  <c:v>9.5518599999999996</c:v>
                </c:pt>
                <c:pt idx="17">
                  <c:v>8.9834999999999994</c:v>
                </c:pt>
                <c:pt idx="18">
                  <c:v>7.9957099999999999</c:v>
                </c:pt>
                <c:pt idx="19">
                  <c:v>6.8875609999999998</c:v>
                </c:pt>
                <c:pt idx="20">
                  <c:v>5.2526400000000004</c:v>
                </c:pt>
                <c:pt idx="21">
                  <c:v>3.5703499999999999</c:v>
                </c:pt>
                <c:pt idx="22">
                  <c:v>2.5315599999999998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66-4D6E-9A3B-415951F0C940}"/>
            </c:ext>
          </c:extLst>
        </c:ser>
        <c:ser>
          <c:idx val="4"/>
          <c:order val="4"/>
          <c:tx>
            <c:v>Uвх = 40 В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566-4D6E-9A3B-415951F0C94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566-4D6E-9A3B-415951F0C940}"/>
              </c:ext>
            </c:extLst>
          </c:dPt>
          <c:xVal>
            <c:numRef>
              <c:f>Лист3!$AA$27:$AA$28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xVal>
          <c:yVal>
            <c:numRef>
              <c:f>Лист3!$Z$27:$Z$28</c:f>
              <c:numCache>
                <c:formatCode>General</c:formatCode>
                <c:ptCount val="2"/>
                <c:pt idx="0">
                  <c:v>0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566-4D6E-9A3B-415951F0C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269504"/>
        <c:axId val="475905600"/>
      </c:scatterChart>
      <c:valAx>
        <c:axId val="382269504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905600"/>
        <c:crosses val="autoZero"/>
        <c:crossBetween val="midCat"/>
      </c:valAx>
      <c:valAx>
        <c:axId val="475905600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226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5972438420446"/>
          <c:y val="0.4119773421695524"/>
          <c:w val="0.16797744176406407"/>
          <c:h val="0.2381365625638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252668</xdr:colOff>
      <xdr:row>35</xdr:row>
      <xdr:rowOff>40102</xdr:rowOff>
    </xdr:from>
    <xdr:to>
      <xdr:col>13</xdr:col>
      <xdr:colOff>421107</xdr:colOff>
      <xdr:row>59</xdr:row>
      <xdr:rowOff>130340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164544-4B64-4776-86DA-A6F579DBA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471236</xdr:colOff>
      <xdr:row>1</xdr:row>
      <xdr:rowOff>80210</xdr:rowOff>
    </xdr:from>
    <xdr:to>
      <xdr:col>27</xdr:col>
      <xdr:colOff>491289</xdr:colOff>
      <xdr:row>25</xdr:row>
      <xdr:rowOff>10027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E3C65E5-D204-4302-8331-6DF248AD0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0.03287</cdr:x>
      <cdr:y>0</cdr:y>
    </cdr:from>
    <cdr:to>
      <cdr:x>0.1189</cdr:x>
      <cdr:y>0.09683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7586E94-D803-4533-BEBE-A008904267A0}"/>
            </a:ext>
          </a:extLst>
        </cdr:cNvPr>
        <cdr:cNvSpPr txBox="1"/>
      </cdr:nvSpPr>
      <cdr:spPr>
        <a:xfrm xmlns:a="http://schemas.openxmlformats.org/drawingml/2006/main">
          <a:off x="249659" y="0"/>
          <a:ext cx="653565" cy="440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U</a:t>
          </a:r>
          <a:r>
            <a:rPr lang="ru-RU" sz="1000"/>
            <a:t>вых</a:t>
          </a:r>
          <a:r>
            <a:rPr lang="ru-RU" sz="1400"/>
            <a:t>, В</a:t>
          </a:r>
        </a:p>
        <a:p xmlns:a="http://schemas.openxmlformats.org/drawingml/2006/main">
          <a:endParaRPr lang="ru-RU" sz="1400"/>
        </a:p>
      </cdr:txBody>
    </cdr:sp>
  </cdr:relSizeAnchor>
  <cdr:relSizeAnchor xmlns:cdr="http://schemas.openxmlformats.org/drawingml/2006/chartDrawing">
    <cdr:from>
      <cdr:x>0.89007</cdr:x>
      <cdr:y>0.8771</cdr:y>
    </cdr:from>
    <cdr:to>
      <cdr:x>0.97611</cdr:x>
      <cdr:y>0.97393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C8939E34-216D-4DF2-A1E3-CAC70F8E11DF}"/>
            </a:ext>
          </a:extLst>
        </cdr:cNvPr>
        <cdr:cNvSpPr txBox="1"/>
      </cdr:nvSpPr>
      <cdr:spPr>
        <a:xfrm xmlns:a="http://schemas.openxmlformats.org/drawingml/2006/main">
          <a:off x="6761396" y="3988116"/>
          <a:ext cx="653566" cy="440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I</a:t>
          </a:r>
          <a:r>
            <a:rPr lang="ru-RU" sz="1000"/>
            <a:t>вых</a:t>
          </a:r>
          <a:r>
            <a:rPr lang="ru-RU" sz="1400"/>
            <a:t>, А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0.03367</cdr:x>
      <cdr:y>0</cdr:y>
    </cdr:from>
    <cdr:to>
      <cdr:x>0.16807</cdr:x>
      <cdr:y>0.12085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D1BF724-2EC2-4C2E-A28F-98C50C9A20A0}"/>
            </a:ext>
          </a:extLst>
        </cdr:cNvPr>
        <cdr:cNvSpPr txBox="1"/>
      </cdr:nvSpPr>
      <cdr:spPr>
        <a:xfrm xmlns:a="http://schemas.openxmlformats.org/drawingml/2006/main">
          <a:off x="261319" y="0"/>
          <a:ext cx="1042981" cy="5438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U</a:t>
          </a:r>
          <a:r>
            <a:rPr lang="ru-RU" sz="1000"/>
            <a:t>вых</a:t>
          </a:r>
          <a:r>
            <a:rPr lang="ru-RU" sz="1400"/>
            <a:t>, В</a:t>
          </a:r>
        </a:p>
      </cdr:txBody>
    </cdr:sp>
  </cdr:relSizeAnchor>
  <cdr:relSizeAnchor xmlns:cdr="http://schemas.openxmlformats.org/drawingml/2006/chartDrawing">
    <cdr:from>
      <cdr:x>0.9062</cdr:x>
      <cdr:y>0.87915</cdr:y>
    </cdr:from>
    <cdr:to>
      <cdr:x>1</cdr:x>
      <cdr:y>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FE37DF5C-E7AB-4B62-8143-DF1A8BCD5027}"/>
            </a:ext>
          </a:extLst>
        </cdr:cNvPr>
        <cdr:cNvSpPr txBox="1"/>
      </cdr:nvSpPr>
      <cdr:spPr>
        <a:xfrm xmlns:a="http://schemas.openxmlformats.org/drawingml/2006/main">
          <a:off x="7032470" y="3956004"/>
          <a:ext cx="727898" cy="5438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U</a:t>
          </a:r>
          <a:r>
            <a:rPr lang="ru-RU" sz="1000"/>
            <a:t>вх</a:t>
          </a:r>
          <a:r>
            <a:rPr lang="ru-RU" sz="1400"/>
            <a:t>, В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481268</xdr:colOff>
      <xdr:row>67</xdr:row>
      <xdr:rowOff>59152</xdr:rowOff>
    </xdr:from>
    <xdr:to>
      <xdr:col>13</xdr:col>
      <xdr:colOff>40107</xdr:colOff>
      <xdr:row>91</xdr:row>
      <xdr:rowOff>149390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B23A01-B3D8-4B8D-B4D0-0B4E4FF2C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471236</xdr:colOff>
      <xdr:row>1</xdr:row>
      <xdr:rowOff>80210</xdr:rowOff>
    </xdr:from>
    <xdr:to>
      <xdr:col>27</xdr:col>
      <xdr:colOff>491289</xdr:colOff>
      <xdr:row>25</xdr:row>
      <xdr:rowOff>10027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FBF40CA-9EFB-416E-A261-848C2E869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0.03287</cdr:x>
      <cdr:y>0</cdr:y>
    </cdr:from>
    <cdr:to>
      <cdr:x>0.1189</cdr:x>
      <cdr:y>0.09683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7586E94-D803-4533-BEBE-A008904267A0}"/>
            </a:ext>
          </a:extLst>
        </cdr:cNvPr>
        <cdr:cNvSpPr txBox="1"/>
      </cdr:nvSpPr>
      <cdr:spPr>
        <a:xfrm xmlns:a="http://schemas.openxmlformats.org/drawingml/2006/main">
          <a:off x="249659" y="0"/>
          <a:ext cx="653565" cy="440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U</a:t>
          </a:r>
          <a:r>
            <a:rPr lang="ru-RU" sz="1000"/>
            <a:t>вых</a:t>
          </a:r>
          <a:r>
            <a:rPr lang="ru-RU" sz="1400"/>
            <a:t>, В</a:t>
          </a:r>
        </a:p>
        <a:p xmlns:a="http://schemas.openxmlformats.org/drawingml/2006/main">
          <a:endParaRPr lang="ru-RU" sz="1400"/>
        </a:p>
      </cdr:txBody>
    </cdr:sp>
  </cdr:relSizeAnchor>
  <cdr:relSizeAnchor xmlns:cdr="http://schemas.openxmlformats.org/drawingml/2006/chartDrawing">
    <cdr:from>
      <cdr:x>0.89007</cdr:x>
      <cdr:y>0.8771</cdr:y>
    </cdr:from>
    <cdr:to>
      <cdr:x>0.97611</cdr:x>
      <cdr:y>0.97393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C8939E34-216D-4DF2-A1E3-CAC70F8E11DF}"/>
            </a:ext>
          </a:extLst>
        </cdr:cNvPr>
        <cdr:cNvSpPr txBox="1"/>
      </cdr:nvSpPr>
      <cdr:spPr>
        <a:xfrm xmlns:a="http://schemas.openxmlformats.org/drawingml/2006/main">
          <a:off x="6761396" y="3988116"/>
          <a:ext cx="653566" cy="440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I</a:t>
          </a:r>
          <a:r>
            <a:rPr lang="ru-RU" sz="1000"/>
            <a:t>вых</a:t>
          </a:r>
          <a:r>
            <a:rPr lang="ru-RU" sz="1400"/>
            <a:t>, А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0.03367</cdr:x>
      <cdr:y>0</cdr:y>
    </cdr:from>
    <cdr:to>
      <cdr:x>0.16807</cdr:x>
      <cdr:y>0.12085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D1BF724-2EC2-4C2E-A28F-98C50C9A20A0}"/>
            </a:ext>
          </a:extLst>
        </cdr:cNvPr>
        <cdr:cNvSpPr txBox="1"/>
      </cdr:nvSpPr>
      <cdr:spPr>
        <a:xfrm xmlns:a="http://schemas.openxmlformats.org/drawingml/2006/main">
          <a:off x="261319" y="0"/>
          <a:ext cx="1042981" cy="5438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U</a:t>
          </a:r>
          <a:r>
            <a:rPr lang="ru-RU" sz="1000"/>
            <a:t>вых</a:t>
          </a:r>
          <a:r>
            <a:rPr lang="ru-RU" sz="1400"/>
            <a:t>, В</a:t>
          </a:r>
        </a:p>
      </cdr:txBody>
    </cdr:sp>
  </cdr:relSizeAnchor>
  <cdr:relSizeAnchor xmlns:cdr="http://schemas.openxmlformats.org/drawingml/2006/chartDrawing">
    <cdr:from>
      <cdr:x>0.9062</cdr:x>
      <cdr:y>0.87915</cdr:y>
    </cdr:from>
    <cdr:to>
      <cdr:x>1</cdr:x>
      <cdr:y>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FE37DF5C-E7AB-4B62-8143-DF1A8BCD5027}"/>
            </a:ext>
          </a:extLst>
        </cdr:cNvPr>
        <cdr:cNvSpPr txBox="1"/>
      </cdr:nvSpPr>
      <cdr:spPr>
        <a:xfrm xmlns:a="http://schemas.openxmlformats.org/drawingml/2006/main">
          <a:off x="7032470" y="3956004"/>
          <a:ext cx="727898" cy="5438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U</a:t>
          </a:r>
          <a:r>
            <a:rPr lang="ru-RU" sz="1000"/>
            <a:t>вх</a:t>
          </a:r>
          <a:r>
            <a:rPr lang="ru-RU" sz="1400"/>
            <a:t>, В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2"/>
  <sheetViews>
    <sheetView topLeftCell="K27" zoomScale="95" zoomScaleNormal="95" workbookViewId="0">
      <selection activeCell="G21" sqref="G21"/>
    </sheetView>
  </sheetViews>
  <sheetFormatPr defaultRowHeight="15" x14ac:dyDescent="0.25"/>
  <cols>
    <col min="2" max="2" width="17.140625" customWidth="1"/>
    <col min="3" max="3" width="19.28515625" customWidth="1"/>
    <col min="5" max="5" width="10.7109375" customWidth="1"/>
    <col min="9" max="9" width="12.7109375" customWidth="1"/>
    <col min="10" max="10" width="20" customWidth="1"/>
    <col min="12" max="12" width="12" customWidth="1"/>
    <col min="15" max="15" width="18.28515625" customWidth="1"/>
    <col min="17" max="17" width="17.42578125" customWidth="1"/>
    <col min="20" max="20" width="13.28515625" customWidth="1"/>
    <col min="22" max="22" width="14" customWidth="1"/>
  </cols>
  <sheetData>
    <row r="1" spans="1:33" x14ac:dyDescent="0.25">
      <c r="A1" t="s">
        <v>0</v>
      </c>
      <c r="B1" t="s">
        <v>1</v>
      </c>
      <c r="C1" t="s">
        <v>2</v>
      </c>
      <c r="E1" t="s">
        <v>3</v>
      </c>
      <c r="I1" t="s">
        <v>7</v>
      </c>
      <c r="J1" t="s">
        <v>1</v>
      </c>
      <c r="L1" t="s">
        <v>8</v>
      </c>
      <c r="N1" t="s">
        <v>7</v>
      </c>
      <c r="O1" t="s">
        <v>1</v>
      </c>
      <c r="Q1" t="s">
        <v>9</v>
      </c>
    </row>
    <row r="2" spans="1:33" x14ac:dyDescent="0.25">
      <c r="A2" t="s">
        <v>4</v>
      </c>
      <c r="B2">
        <v>11.995100000000001</v>
      </c>
      <c r="C2">
        <v>0</v>
      </c>
      <c r="I2">
        <v>100</v>
      </c>
      <c r="J2">
        <v>12.131600000000001</v>
      </c>
      <c r="N2">
        <v>100</v>
      </c>
      <c r="O2">
        <v>11.969200000000001</v>
      </c>
      <c r="AE2" t="s">
        <v>12</v>
      </c>
    </row>
    <row r="3" spans="1:33" x14ac:dyDescent="0.25">
      <c r="A3">
        <v>100</v>
      </c>
      <c r="B3">
        <v>11.995100000000001</v>
      </c>
      <c r="C3">
        <f t="shared" ref="C3:C8" si="0">B3/A3</f>
        <v>0.119951</v>
      </c>
      <c r="I3">
        <v>90</v>
      </c>
      <c r="J3">
        <v>12.116099999999999</v>
      </c>
      <c r="N3">
        <v>90</v>
      </c>
      <c r="O3">
        <v>11.924200000000001</v>
      </c>
      <c r="AE3" t="s">
        <v>13</v>
      </c>
      <c r="AF3">
        <v>39</v>
      </c>
      <c r="AG3">
        <v>41</v>
      </c>
    </row>
    <row r="4" spans="1:33" x14ac:dyDescent="0.25">
      <c r="A4">
        <v>70</v>
      </c>
      <c r="B4">
        <v>11.995100000000001</v>
      </c>
      <c r="C4">
        <f t="shared" si="0"/>
        <v>0.17135857142857144</v>
      </c>
      <c r="I4">
        <v>80</v>
      </c>
      <c r="J4">
        <v>12.098800000000001</v>
      </c>
      <c r="N4">
        <v>80</v>
      </c>
      <c r="O4">
        <v>11.895619999999999</v>
      </c>
      <c r="AE4" t="s">
        <v>14</v>
      </c>
      <c r="AF4">
        <v>11.991300000000001</v>
      </c>
      <c r="AG4">
        <v>11.998900000000001</v>
      </c>
    </row>
    <row r="5" spans="1:33" x14ac:dyDescent="0.25">
      <c r="A5">
        <v>60</v>
      </c>
      <c r="B5">
        <v>11.995100000000001</v>
      </c>
      <c r="C5">
        <f t="shared" si="0"/>
        <v>0.19991833333333334</v>
      </c>
      <c r="I5">
        <v>70</v>
      </c>
      <c r="J5">
        <v>12.079000000000001</v>
      </c>
      <c r="N5">
        <v>70</v>
      </c>
      <c r="O5">
        <v>11.868320000000001</v>
      </c>
    </row>
    <row r="6" spans="1:33" x14ac:dyDescent="0.25">
      <c r="A6">
        <v>50</v>
      </c>
      <c r="B6">
        <v>11.995100000000001</v>
      </c>
      <c r="C6">
        <f t="shared" si="0"/>
        <v>0.239902</v>
      </c>
      <c r="I6">
        <v>60</v>
      </c>
      <c r="J6">
        <v>12.056100000000001</v>
      </c>
      <c r="N6">
        <v>60</v>
      </c>
      <c r="O6">
        <v>11.82342</v>
      </c>
      <c r="AE6" t="s">
        <v>15</v>
      </c>
    </row>
    <row r="7" spans="1:33" x14ac:dyDescent="0.25">
      <c r="A7">
        <v>40</v>
      </c>
      <c r="B7">
        <v>11.995100000000001</v>
      </c>
      <c r="C7">
        <f t="shared" si="0"/>
        <v>0.29987750000000002</v>
      </c>
      <c r="I7">
        <v>50</v>
      </c>
      <c r="J7">
        <v>12.0289</v>
      </c>
      <c r="N7">
        <v>50</v>
      </c>
      <c r="O7">
        <v>11.784972</v>
      </c>
    </row>
    <row r="8" spans="1:33" x14ac:dyDescent="0.25">
      <c r="A8">
        <v>30</v>
      </c>
      <c r="B8">
        <v>11.995100000000001</v>
      </c>
      <c r="C8">
        <f t="shared" si="0"/>
        <v>0.39983666666666667</v>
      </c>
      <c r="I8">
        <v>40</v>
      </c>
      <c r="J8">
        <v>11.995100000000001</v>
      </c>
      <c r="N8">
        <v>40</v>
      </c>
      <c r="O8">
        <v>11.7219</v>
      </c>
    </row>
    <row r="9" spans="1:33" x14ac:dyDescent="0.25">
      <c r="A9">
        <v>20</v>
      </c>
      <c r="B9">
        <v>11.995100000000001</v>
      </c>
      <c r="C9">
        <f t="shared" ref="C9:C21" si="1">B9/A9</f>
        <v>0.59975500000000004</v>
      </c>
      <c r="I9">
        <v>30</v>
      </c>
      <c r="J9">
        <v>11.950900000000001</v>
      </c>
      <c r="N9">
        <v>30</v>
      </c>
      <c r="O9">
        <v>11.613516000000001</v>
      </c>
      <c r="AE9" t="s">
        <v>16</v>
      </c>
    </row>
    <row r="10" spans="1:33" x14ac:dyDescent="0.25">
      <c r="A10">
        <v>17.5</v>
      </c>
      <c r="B10">
        <v>11.995100000000001</v>
      </c>
      <c r="C10">
        <f t="shared" si="1"/>
        <v>0.68543428571428577</v>
      </c>
      <c r="I10">
        <v>24</v>
      </c>
      <c r="J10">
        <v>11.901899999999999</v>
      </c>
      <c r="N10">
        <v>25</v>
      </c>
      <c r="O10">
        <v>11.476820999999999</v>
      </c>
      <c r="AE10" t="s">
        <v>13</v>
      </c>
      <c r="AF10">
        <v>39</v>
      </c>
      <c r="AG10">
        <v>41</v>
      </c>
    </row>
    <row r="11" spans="1:33" x14ac:dyDescent="0.25">
      <c r="A11">
        <v>15</v>
      </c>
      <c r="B11">
        <v>11.995100000000001</v>
      </c>
      <c r="C11">
        <f t="shared" si="1"/>
        <v>0.79967333333333335</v>
      </c>
      <c r="I11">
        <v>20</v>
      </c>
      <c r="J11">
        <v>11.7905</v>
      </c>
      <c r="N11">
        <v>22</v>
      </c>
      <c r="O11">
        <v>11.23291</v>
      </c>
      <c r="AE11" t="s">
        <v>14</v>
      </c>
      <c r="AF11">
        <v>11.720700000000001</v>
      </c>
      <c r="AG11">
        <v>11.729799999999999</v>
      </c>
    </row>
    <row r="12" spans="1:33" x14ac:dyDescent="0.25">
      <c r="A12">
        <v>13.5</v>
      </c>
      <c r="B12">
        <v>11.995100000000001</v>
      </c>
      <c r="C12">
        <f t="shared" si="1"/>
        <v>0.88852592592592594</v>
      </c>
      <c r="I12">
        <v>17.5</v>
      </c>
      <c r="J12">
        <v>11.5223</v>
      </c>
      <c r="N12">
        <v>19.5</v>
      </c>
      <c r="O12">
        <v>10.859260000000001</v>
      </c>
    </row>
    <row r="13" spans="1:33" x14ac:dyDescent="0.25">
      <c r="A13">
        <v>12</v>
      </c>
      <c r="B13">
        <v>11.995100000000001</v>
      </c>
      <c r="C13">
        <f t="shared" si="1"/>
        <v>0.99959166666666677</v>
      </c>
      <c r="I13">
        <v>15</v>
      </c>
      <c r="J13">
        <v>10.956709999999999</v>
      </c>
      <c r="N13">
        <v>17.5</v>
      </c>
      <c r="O13">
        <v>10.215210000000001</v>
      </c>
      <c r="AE13" t="s">
        <v>17</v>
      </c>
    </row>
    <row r="14" spans="1:33" x14ac:dyDescent="0.25">
      <c r="A14">
        <v>11.5</v>
      </c>
      <c r="B14">
        <v>11.994999999999999</v>
      </c>
      <c r="C14">
        <f t="shared" si="1"/>
        <v>1.0430434782608695</v>
      </c>
      <c r="I14">
        <v>13.5</v>
      </c>
      <c r="J14">
        <v>10.268800000000001</v>
      </c>
      <c r="N14">
        <v>15</v>
      </c>
      <c r="O14">
        <v>9.2172099999999997</v>
      </c>
    </row>
    <row r="15" spans="1:33" x14ac:dyDescent="0.25">
      <c r="A15">
        <v>10</v>
      </c>
      <c r="B15">
        <v>11.9421</v>
      </c>
      <c r="C15">
        <f t="shared" si="1"/>
        <v>1.19421</v>
      </c>
      <c r="I15">
        <v>12.5</v>
      </c>
      <c r="J15">
        <v>9.4654600000000002</v>
      </c>
      <c r="N15">
        <v>12.5</v>
      </c>
      <c r="O15">
        <v>7.7319100000000001</v>
      </c>
      <c r="AE15" t="s">
        <v>18</v>
      </c>
    </row>
    <row r="16" spans="1:33" x14ac:dyDescent="0.25">
      <c r="A16">
        <v>9.5</v>
      </c>
      <c r="B16">
        <v>11.891310000000001</v>
      </c>
      <c r="C16">
        <f t="shared" si="1"/>
        <v>1.2517168421052631</v>
      </c>
      <c r="I16">
        <v>10</v>
      </c>
      <c r="J16">
        <v>7.4275099999999998</v>
      </c>
      <c r="N16">
        <v>10</v>
      </c>
      <c r="O16">
        <v>6.1654999999999998</v>
      </c>
      <c r="AE16" t="s">
        <v>13</v>
      </c>
      <c r="AF16">
        <v>39</v>
      </c>
      <c r="AG16">
        <v>41</v>
      </c>
    </row>
    <row r="17" spans="1:33" x14ac:dyDescent="0.25">
      <c r="A17">
        <v>9.25</v>
      </c>
      <c r="B17">
        <v>11.84511</v>
      </c>
      <c r="C17">
        <f t="shared" si="1"/>
        <v>1.2805524324324324</v>
      </c>
      <c r="I17">
        <v>7.5</v>
      </c>
      <c r="J17">
        <v>5.3452900000000003</v>
      </c>
      <c r="N17">
        <v>7.5</v>
      </c>
      <c r="O17">
        <v>4.5521399999999996</v>
      </c>
      <c r="AE17" t="s">
        <v>14</v>
      </c>
      <c r="AF17">
        <v>11.9918</v>
      </c>
      <c r="AG17">
        <v>11.99898</v>
      </c>
    </row>
    <row r="18" spans="1:33" x14ac:dyDescent="0.25">
      <c r="A18">
        <v>9</v>
      </c>
      <c r="B18">
        <v>11.75934</v>
      </c>
      <c r="C18">
        <f t="shared" si="1"/>
        <v>1.3065933333333333</v>
      </c>
      <c r="I18">
        <v>5</v>
      </c>
      <c r="J18">
        <v>3.3547199999999999</v>
      </c>
      <c r="N18">
        <v>5</v>
      </c>
      <c r="O18">
        <v>2.7983500000000001</v>
      </c>
    </row>
    <row r="19" spans="1:33" x14ac:dyDescent="0.25">
      <c r="A19">
        <v>8.75</v>
      </c>
      <c r="B19">
        <v>11.5831</v>
      </c>
      <c r="C19">
        <f t="shared" si="1"/>
        <v>1.3237828571428572</v>
      </c>
      <c r="I19">
        <v>2.5</v>
      </c>
      <c r="J19">
        <v>1.51203</v>
      </c>
      <c r="N19">
        <v>2.5</v>
      </c>
      <c r="O19">
        <v>1.2512315000000001</v>
      </c>
      <c r="AE19" t="s">
        <v>19</v>
      </c>
    </row>
    <row r="20" spans="1:33" x14ac:dyDescent="0.25">
      <c r="A20">
        <v>8.5</v>
      </c>
      <c r="B20">
        <v>11.3361</v>
      </c>
      <c r="C20">
        <f t="shared" si="1"/>
        <v>1.3336588235294118</v>
      </c>
      <c r="I20">
        <v>0</v>
      </c>
      <c r="J20">
        <v>0</v>
      </c>
      <c r="N20">
        <v>0</v>
      </c>
      <c r="O20">
        <v>0</v>
      </c>
    </row>
    <row r="21" spans="1:33" x14ac:dyDescent="0.25">
      <c r="A21">
        <v>8</v>
      </c>
      <c r="B21">
        <v>10.757999999999999</v>
      </c>
      <c r="C21">
        <f t="shared" si="1"/>
        <v>1.3447499999999999</v>
      </c>
    </row>
    <row r="22" spans="1:33" x14ac:dyDescent="0.25">
      <c r="A22">
        <v>7</v>
      </c>
      <c r="B22">
        <v>9.5049130999999996</v>
      </c>
      <c r="C22">
        <f t="shared" ref="C22:C28" si="2">B22/A22</f>
        <v>1.3578447285714286</v>
      </c>
      <c r="AE22" t="s">
        <v>20</v>
      </c>
    </row>
    <row r="23" spans="1:33" x14ac:dyDescent="0.25">
      <c r="A23">
        <v>6</v>
      </c>
      <c r="B23">
        <v>8.2271800000000006</v>
      </c>
      <c r="C23">
        <f t="shared" si="2"/>
        <v>1.3711966666666668</v>
      </c>
      <c r="N23" t="s">
        <v>7</v>
      </c>
      <c r="O23" t="s">
        <v>1</v>
      </c>
      <c r="Q23" t="s">
        <v>10</v>
      </c>
      <c r="AE23" t="s">
        <v>13</v>
      </c>
      <c r="AF23">
        <v>39</v>
      </c>
      <c r="AG23">
        <v>41</v>
      </c>
    </row>
    <row r="24" spans="1:33" x14ac:dyDescent="0.25">
      <c r="A24">
        <v>5</v>
      </c>
      <c r="B24">
        <v>6.9300100000000002</v>
      </c>
      <c r="C24">
        <f t="shared" si="2"/>
        <v>1.386002</v>
      </c>
      <c r="N24">
        <v>100</v>
      </c>
      <c r="O24">
        <v>12.131600000000001</v>
      </c>
      <c r="AE24" t="s">
        <v>14</v>
      </c>
      <c r="AF24">
        <v>11.9925</v>
      </c>
      <c r="AG24">
        <v>11.99898</v>
      </c>
    </row>
    <row r="25" spans="1:33" x14ac:dyDescent="0.25">
      <c r="A25">
        <v>4</v>
      </c>
      <c r="B25">
        <v>5.6012000000000004</v>
      </c>
      <c r="C25">
        <f t="shared" si="2"/>
        <v>1.4003000000000001</v>
      </c>
      <c r="N25">
        <v>90</v>
      </c>
      <c r="O25">
        <v>12.116199999999999</v>
      </c>
    </row>
    <row r="26" spans="1:33" x14ac:dyDescent="0.25">
      <c r="A26">
        <v>3</v>
      </c>
      <c r="B26">
        <v>4.2401200000000001</v>
      </c>
      <c r="C26">
        <f t="shared" si="2"/>
        <v>1.4133733333333334</v>
      </c>
      <c r="N26">
        <v>80</v>
      </c>
      <c r="O26">
        <v>12.098800000000001</v>
      </c>
      <c r="AE26" t="s">
        <v>21</v>
      </c>
    </row>
    <row r="27" spans="1:33" x14ac:dyDescent="0.25">
      <c r="A27">
        <v>2</v>
      </c>
      <c r="B27">
        <v>2.8525800000000001</v>
      </c>
      <c r="C27">
        <f t="shared" si="2"/>
        <v>1.4262900000000001</v>
      </c>
      <c r="N27">
        <v>70</v>
      </c>
      <c r="O27">
        <v>12.0791</v>
      </c>
      <c r="Z27">
        <v>0</v>
      </c>
      <c r="AA27">
        <v>40</v>
      </c>
    </row>
    <row r="28" spans="1:33" x14ac:dyDescent="0.25">
      <c r="A28">
        <v>1</v>
      </c>
      <c r="B28">
        <v>1.4399</v>
      </c>
      <c r="C28">
        <f t="shared" si="2"/>
        <v>1.4399</v>
      </c>
      <c r="N28">
        <v>60</v>
      </c>
      <c r="O28">
        <v>12.056100000000001</v>
      </c>
      <c r="S28" t="s">
        <v>7</v>
      </c>
      <c r="T28" t="s">
        <v>1</v>
      </c>
      <c r="V28" t="s">
        <v>11</v>
      </c>
      <c r="Z28">
        <v>16</v>
      </c>
      <c r="AA28">
        <v>40</v>
      </c>
    </row>
    <row r="29" spans="1:33" x14ac:dyDescent="0.25">
      <c r="A29">
        <v>0</v>
      </c>
      <c r="B29">
        <v>0</v>
      </c>
      <c r="C29">
        <v>1.4542999999999999</v>
      </c>
      <c r="N29">
        <v>50</v>
      </c>
      <c r="O29">
        <v>12.0289</v>
      </c>
      <c r="S29">
        <v>100</v>
      </c>
      <c r="T29">
        <v>12.131600000000001</v>
      </c>
    </row>
    <row r="30" spans="1:33" x14ac:dyDescent="0.25">
      <c r="N30">
        <v>40</v>
      </c>
      <c r="O30">
        <v>11.995100000000001</v>
      </c>
      <c r="S30">
        <v>90</v>
      </c>
      <c r="T30">
        <v>12.116199999999999</v>
      </c>
    </row>
    <row r="31" spans="1:33" x14ac:dyDescent="0.25">
      <c r="N31">
        <v>30</v>
      </c>
      <c r="O31">
        <v>11.951000000000001</v>
      </c>
      <c r="S31">
        <v>80</v>
      </c>
      <c r="T31">
        <v>12.098800000000001</v>
      </c>
    </row>
    <row r="32" spans="1:33" x14ac:dyDescent="0.25">
      <c r="A32" t="s">
        <v>0</v>
      </c>
      <c r="B32" t="s">
        <v>1</v>
      </c>
      <c r="C32" t="s">
        <v>2</v>
      </c>
      <c r="N32">
        <v>24</v>
      </c>
      <c r="O32">
        <v>11.916</v>
      </c>
      <c r="S32">
        <v>70</v>
      </c>
      <c r="T32">
        <v>12.0792</v>
      </c>
    </row>
    <row r="33" spans="1:20" x14ac:dyDescent="0.25">
      <c r="A33" t="s">
        <v>4</v>
      </c>
      <c r="B33">
        <v>11.940200000000001</v>
      </c>
      <c r="C33">
        <v>0</v>
      </c>
      <c r="N33">
        <v>20</v>
      </c>
      <c r="O33">
        <v>11.886699999999999</v>
      </c>
      <c r="S33">
        <v>60</v>
      </c>
      <c r="T33">
        <v>12.0562</v>
      </c>
    </row>
    <row r="34" spans="1:20" x14ac:dyDescent="0.25">
      <c r="A34">
        <v>100</v>
      </c>
      <c r="B34">
        <v>11.940200000000001</v>
      </c>
      <c r="C34">
        <f t="shared" ref="C34:C39" si="3">B34/A34</f>
        <v>0.11940200000000001</v>
      </c>
      <c r="E34" t="s">
        <v>5</v>
      </c>
      <c r="N34">
        <v>17</v>
      </c>
      <c r="O34">
        <v>11.793710000000001</v>
      </c>
      <c r="S34">
        <v>50</v>
      </c>
      <c r="T34">
        <v>12.0289</v>
      </c>
    </row>
    <row r="35" spans="1:20" x14ac:dyDescent="0.25">
      <c r="A35">
        <v>70</v>
      </c>
      <c r="B35">
        <v>11.940200000000001</v>
      </c>
      <c r="C35">
        <f t="shared" si="3"/>
        <v>0.17057428571428573</v>
      </c>
      <c r="I35">
        <v>0</v>
      </c>
      <c r="J35">
        <v>2</v>
      </c>
      <c r="N35">
        <v>15</v>
      </c>
      <c r="O35">
        <v>11.51521</v>
      </c>
      <c r="S35">
        <v>40</v>
      </c>
      <c r="T35">
        <v>11.995100000000001</v>
      </c>
    </row>
    <row r="36" spans="1:20" x14ac:dyDescent="0.25">
      <c r="A36">
        <v>60</v>
      </c>
      <c r="B36">
        <v>11.940200000000001</v>
      </c>
      <c r="C36">
        <f t="shared" si="3"/>
        <v>0.19900333333333334</v>
      </c>
      <c r="I36">
        <v>0</v>
      </c>
      <c r="J36">
        <v>24</v>
      </c>
      <c r="N36">
        <v>13</v>
      </c>
      <c r="O36">
        <v>10.991720000000001</v>
      </c>
      <c r="S36">
        <v>30</v>
      </c>
      <c r="T36">
        <v>11.951000000000001</v>
      </c>
    </row>
    <row r="37" spans="1:20" x14ac:dyDescent="0.25">
      <c r="A37">
        <v>50</v>
      </c>
      <c r="B37">
        <v>11.940200000000001</v>
      </c>
      <c r="C37">
        <f t="shared" si="3"/>
        <v>0.23880400000000002</v>
      </c>
      <c r="N37">
        <v>12</v>
      </c>
      <c r="O37">
        <v>10.5587</v>
      </c>
      <c r="S37">
        <v>24</v>
      </c>
      <c r="T37">
        <v>11.916</v>
      </c>
    </row>
    <row r="38" spans="1:20" x14ac:dyDescent="0.25">
      <c r="A38">
        <v>40</v>
      </c>
      <c r="B38">
        <v>11.940200000000001</v>
      </c>
      <c r="C38">
        <f t="shared" si="3"/>
        <v>0.29850500000000002</v>
      </c>
      <c r="N38">
        <v>11</v>
      </c>
      <c r="O38">
        <v>9.86721</v>
      </c>
      <c r="S38">
        <v>20</v>
      </c>
      <c r="T38">
        <v>11.896800000000001</v>
      </c>
    </row>
    <row r="39" spans="1:20" x14ac:dyDescent="0.25">
      <c r="A39">
        <v>30</v>
      </c>
      <c r="B39">
        <v>11.940200000000001</v>
      </c>
      <c r="C39">
        <f t="shared" si="3"/>
        <v>0.39800666666666668</v>
      </c>
      <c r="N39">
        <v>10</v>
      </c>
      <c r="O39">
        <v>8.9801000000000002</v>
      </c>
      <c r="S39">
        <v>17</v>
      </c>
      <c r="T39">
        <v>11.8767</v>
      </c>
    </row>
    <row r="40" spans="1:20" x14ac:dyDescent="0.25">
      <c r="A40">
        <v>20</v>
      </c>
      <c r="B40">
        <v>11.940200000000001</v>
      </c>
      <c r="C40">
        <f t="shared" ref="C40:C51" si="4">B40/A40</f>
        <v>0.59701000000000004</v>
      </c>
      <c r="N40">
        <v>8.5</v>
      </c>
      <c r="O40">
        <v>7.5921399999999997</v>
      </c>
      <c r="S40">
        <v>15</v>
      </c>
      <c r="T40">
        <v>11.8192</v>
      </c>
    </row>
    <row r="41" spans="1:20" x14ac:dyDescent="0.25">
      <c r="A41">
        <v>17.5</v>
      </c>
      <c r="B41">
        <v>11.940200000000001</v>
      </c>
      <c r="C41">
        <f t="shared" si="4"/>
        <v>0.68229714285714294</v>
      </c>
      <c r="N41">
        <v>7.5</v>
      </c>
      <c r="O41">
        <v>6.7131559999999997</v>
      </c>
      <c r="S41">
        <v>13</v>
      </c>
      <c r="T41">
        <v>11.632099999999999</v>
      </c>
    </row>
    <row r="42" spans="1:20" x14ac:dyDescent="0.25">
      <c r="A42">
        <v>15</v>
      </c>
      <c r="B42">
        <v>11.940200000000001</v>
      </c>
      <c r="C42">
        <f t="shared" si="4"/>
        <v>0.79601333333333335</v>
      </c>
      <c r="N42">
        <v>6.5</v>
      </c>
      <c r="O42">
        <v>5.6745210000000004</v>
      </c>
      <c r="S42">
        <v>12</v>
      </c>
      <c r="T42">
        <v>11.353260000000001</v>
      </c>
    </row>
    <row r="43" spans="1:20" x14ac:dyDescent="0.25">
      <c r="A43">
        <v>13.5</v>
      </c>
      <c r="B43">
        <v>11.940200000000001</v>
      </c>
      <c r="C43">
        <f t="shared" si="4"/>
        <v>0.88445925925925928</v>
      </c>
      <c r="N43">
        <v>5</v>
      </c>
      <c r="O43">
        <v>4.3223500000000001</v>
      </c>
      <c r="S43">
        <v>11</v>
      </c>
      <c r="T43">
        <v>10.89514</v>
      </c>
    </row>
    <row r="44" spans="1:20" x14ac:dyDescent="0.25">
      <c r="A44">
        <v>12</v>
      </c>
      <c r="B44">
        <v>11.940200000000001</v>
      </c>
      <c r="C44">
        <f t="shared" si="4"/>
        <v>0.99501666666666677</v>
      </c>
      <c r="N44">
        <v>2.5</v>
      </c>
      <c r="O44">
        <v>1.9750970000000001</v>
      </c>
      <c r="S44">
        <v>10</v>
      </c>
      <c r="T44">
        <v>10.23462</v>
      </c>
    </row>
    <row r="45" spans="1:20" x14ac:dyDescent="0.25">
      <c r="A45">
        <v>11.5</v>
      </c>
      <c r="B45">
        <v>11.936500000000001</v>
      </c>
      <c r="C45">
        <f t="shared" si="4"/>
        <v>1.0379565217391304</v>
      </c>
      <c r="N45">
        <v>0</v>
      </c>
      <c r="O45">
        <v>0</v>
      </c>
      <c r="S45">
        <v>9</v>
      </c>
      <c r="T45">
        <v>9.5518599999999996</v>
      </c>
    </row>
    <row r="46" spans="1:20" x14ac:dyDescent="0.25">
      <c r="A46">
        <v>10.5</v>
      </c>
      <c r="B46">
        <v>11.855600000000001</v>
      </c>
      <c r="C46">
        <f t="shared" si="4"/>
        <v>1.1291047619047621</v>
      </c>
      <c r="S46">
        <v>8.5</v>
      </c>
      <c r="T46">
        <v>8.9834999999999994</v>
      </c>
    </row>
    <row r="47" spans="1:20" x14ac:dyDescent="0.25">
      <c r="A47">
        <v>10</v>
      </c>
      <c r="B47">
        <v>11.690123</v>
      </c>
      <c r="C47">
        <f t="shared" si="4"/>
        <v>1.1690122999999999</v>
      </c>
      <c r="S47">
        <v>7.5</v>
      </c>
      <c r="T47">
        <v>7.9957099999999999</v>
      </c>
    </row>
    <row r="48" spans="1:20" x14ac:dyDescent="0.25">
      <c r="A48">
        <v>9.5</v>
      </c>
      <c r="B48">
        <v>11.373699999999999</v>
      </c>
      <c r="C48">
        <f t="shared" si="4"/>
        <v>1.1972315789473684</v>
      </c>
      <c r="S48">
        <v>6.5</v>
      </c>
      <c r="T48">
        <v>6.8875609999999998</v>
      </c>
    </row>
    <row r="49" spans="1:20" x14ac:dyDescent="0.25">
      <c r="A49">
        <v>9</v>
      </c>
      <c r="B49">
        <v>10.904120000000001</v>
      </c>
      <c r="C49">
        <f t="shared" si="4"/>
        <v>1.2115688888888889</v>
      </c>
      <c r="S49">
        <v>5</v>
      </c>
      <c r="T49">
        <v>5.2526400000000004</v>
      </c>
    </row>
    <row r="50" spans="1:20" x14ac:dyDescent="0.25">
      <c r="A50">
        <v>8.5</v>
      </c>
      <c r="B50">
        <v>10.379</v>
      </c>
      <c r="C50">
        <f t="shared" si="4"/>
        <v>1.2210588235294118</v>
      </c>
      <c r="S50">
        <v>3.5</v>
      </c>
      <c r="T50">
        <v>3.5703499999999999</v>
      </c>
    </row>
    <row r="51" spans="1:20" x14ac:dyDescent="0.25">
      <c r="A51">
        <v>8</v>
      </c>
      <c r="B51">
        <v>9.8252699999999997</v>
      </c>
      <c r="C51">
        <f t="shared" si="4"/>
        <v>1.22815875</v>
      </c>
      <c r="S51">
        <v>2.5</v>
      </c>
      <c r="T51">
        <v>2.5315599999999998</v>
      </c>
    </row>
    <row r="52" spans="1:20" x14ac:dyDescent="0.25">
      <c r="A52">
        <v>7</v>
      </c>
      <c r="B52">
        <v>8.6838099999999994</v>
      </c>
      <c r="C52">
        <f t="shared" ref="C52:C58" si="5">B52/A52</f>
        <v>1.2405442857142857</v>
      </c>
      <c r="S52">
        <v>0</v>
      </c>
      <c r="T52">
        <v>0</v>
      </c>
    </row>
    <row r="53" spans="1:20" x14ac:dyDescent="0.25">
      <c r="A53">
        <v>6</v>
      </c>
      <c r="B53">
        <v>7.5252699999999999</v>
      </c>
      <c r="C53">
        <f t="shared" si="5"/>
        <v>1.2542116666666667</v>
      </c>
    </row>
    <row r="54" spans="1:20" x14ac:dyDescent="0.25">
      <c r="A54">
        <v>5</v>
      </c>
      <c r="B54">
        <v>6.3250700000000002</v>
      </c>
      <c r="C54">
        <f t="shared" si="5"/>
        <v>1.2650140000000001</v>
      </c>
    </row>
    <row r="55" spans="1:20" x14ac:dyDescent="0.25">
      <c r="A55">
        <v>4</v>
      </c>
      <c r="B55">
        <v>5.10731</v>
      </c>
      <c r="C55">
        <f t="shared" si="5"/>
        <v>1.2768275</v>
      </c>
    </row>
    <row r="56" spans="1:20" x14ac:dyDescent="0.25">
      <c r="A56">
        <v>3</v>
      </c>
      <c r="B56">
        <v>3.8691300000000002</v>
      </c>
      <c r="C56">
        <f t="shared" si="5"/>
        <v>1.2897100000000001</v>
      </c>
    </row>
    <row r="57" spans="1:20" x14ac:dyDescent="0.25">
      <c r="A57">
        <v>2</v>
      </c>
      <c r="B57">
        <v>2.6050499999999999</v>
      </c>
      <c r="C57">
        <f t="shared" si="5"/>
        <v>1.3025249999999999</v>
      </c>
    </row>
    <row r="58" spans="1:20" x14ac:dyDescent="0.25">
      <c r="A58">
        <v>1</v>
      </c>
      <c r="B58">
        <v>1.3161799999999999</v>
      </c>
      <c r="C58">
        <f t="shared" si="5"/>
        <v>1.3161799999999999</v>
      </c>
    </row>
    <row r="59" spans="1:20" x14ac:dyDescent="0.25">
      <c r="A59">
        <v>0</v>
      </c>
      <c r="B59">
        <v>0</v>
      </c>
      <c r="C59">
        <v>1.3294299999999999</v>
      </c>
    </row>
    <row r="61" spans="1:20" x14ac:dyDescent="0.25">
      <c r="A61" t="s">
        <v>0</v>
      </c>
      <c r="B61" t="s">
        <v>1</v>
      </c>
      <c r="C61" t="s">
        <v>2</v>
      </c>
    </row>
    <row r="62" spans="1:20" x14ac:dyDescent="0.25">
      <c r="A62" t="s">
        <v>4</v>
      </c>
      <c r="B62">
        <v>12.0562</v>
      </c>
      <c r="C62">
        <v>0</v>
      </c>
    </row>
    <row r="63" spans="1:20" x14ac:dyDescent="0.25">
      <c r="A63">
        <v>100</v>
      </c>
      <c r="B63">
        <v>12.056100000000001</v>
      </c>
      <c r="C63">
        <f t="shared" ref="C63:C68" si="6">B63/A63</f>
        <v>0.120561</v>
      </c>
    </row>
    <row r="64" spans="1:20" x14ac:dyDescent="0.25">
      <c r="A64">
        <v>70</v>
      </c>
      <c r="B64">
        <v>12.056100000000001</v>
      </c>
      <c r="C64">
        <f t="shared" si="6"/>
        <v>0.17223000000000002</v>
      </c>
    </row>
    <row r="65" spans="1:5" x14ac:dyDescent="0.25">
      <c r="A65">
        <v>60</v>
      </c>
      <c r="B65">
        <v>12.056100000000001</v>
      </c>
      <c r="C65">
        <f t="shared" si="6"/>
        <v>0.200935</v>
      </c>
      <c r="E65" t="s">
        <v>6</v>
      </c>
    </row>
    <row r="66" spans="1:5" x14ac:dyDescent="0.25">
      <c r="A66">
        <v>50</v>
      </c>
      <c r="B66">
        <v>12.056100000000001</v>
      </c>
      <c r="C66">
        <f t="shared" si="6"/>
        <v>0.241122</v>
      </c>
    </row>
    <row r="67" spans="1:5" x14ac:dyDescent="0.25">
      <c r="A67">
        <v>40</v>
      </c>
      <c r="B67">
        <v>12.056100000000001</v>
      </c>
      <c r="C67">
        <f t="shared" si="6"/>
        <v>0.30140250000000002</v>
      </c>
    </row>
    <row r="68" spans="1:5" x14ac:dyDescent="0.25">
      <c r="A68">
        <v>30</v>
      </c>
      <c r="B68">
        <v>12.056100000000001</v>
      </c>
      <c r="C68">
        <f t="shared" si="6"/>
        <v>0.40187</v>
      </c>
    </row>
    <row r="69" spans="1:5" x14ac:dyDescent="0.25">
      <c r="A69">
        <v>20</v>
      </c>
      <c r="B69">
        <v>12.056100000000001</v>
      </c>
      <c r="C69">
        <f t="shared" ref="C69:C83" si="7">B69/A69</f>
        <v>0.60280500000000004</v>
      </c>
    </row>
    <row r="70" spans="1:5" x14ac:dyDescent="0.25">
      <c r="A70">
        <v>17.5</v>
      </c>
      <c r="B70">
        <v>12.056100000000001</v>
      </c>
      <c r="C70">
        <f t="shared" si="7"/>
        <v>0.68892000000000009</v>
      </c>
    </row>
    <row r="71" spans="1:5" x14ac:dyDescent="0.25">
      <c r="A71">
        <v>15</v>
      </c>
      <c r="B71">
        <v>12.056100000000001</v>
      </c>
      <c r="C71">
        <f t="shared" si="7"/>
        <v>0.80374000000000001</v>
      </c>
    </row>
    <row r="72" spans="1:5" x14ac:dyDescent="0.25">
      <c r="A72">
        <v>13.5</v>
      </c>
      <c r="B72">
        <v>12.056100000000001</v>
      </c>
      <c r="C72">
        <f t="shared" si="7"/>
        <v>0.89304444444444453</v>
      </c>
    </row>
    <row r="73" spans="1:5" x14ac:dyDescent="0.25">
      <c r="A73">
        <v>12</v>
      </c>
      <c r="B73">
        <v>12.056100000000001</v>
      </c>
      <c r="C73">
        <f t="shared" si="7"/>
        <v>1.004675</v>
      </c>
    </row>
    <row r="74" spans="1:5" x14ac:dyDescent="0.25">
      <c r="A74">
        <v>11.5</v>
      </c>
      <c r="B74">
        <v>12.053000000000001</v>
      </c>
      <c r="C74">
        <f t="shared" si="7"/>
        <v>1.0480869565217392</v>
      </c>
    </row>
    <row r="75" spans="1:5" x14ac:dyDescent="0.25">
      <c r="A75">
        <v>10.5</v>
      </c>
      <c r="B75">
        <v>12.053000000000001</v>
      </c>
      <c r="C75">
        <f t="shared" si="7"/>
        <v>1.147904761904762</v>
      </c>
    </row>
    <row r="76" spans="1:5" x14ac:dyDescent="0.25">
      <c r="A76">
        <v>10</v>
      </c>
      <c r="B76">
        <v>12.053000000000001</v>
      </c>
      <c r="C76">
        <f t="shared" si="7"/>
        <v>1.2053</v>
      </c>
    </row>
    <row r="77" spans="1:5" x14ac:dyDescent="0.25">
      <c r="A77">
        <v>9.5</v>
      </c>
      <c r="B77">
        <v>12.053000000000001</v>
      </c>
      <c r="C77">
        <f t="shared" si="7"/>
        <v>1.2687368421052632</v>
      </c>
    </row>
    <row r="78" spans="1:5" x14ac:dyDescent="0.25">
      <c r="A78">
        <v>9</v>
      </c>
      <c r="B78">
        <v>12.052</v>
      </c>
      <c r="C78">
        <f t="shared" si="7"/>
        <v>1.3391111111111111</v>
      </c>
    </row>
    <row r="79" spans="1:5" x14ac:dyDescent="0.25">
      <c r="A79">
        <v>8.5</v>
      </c>
      <c r="B79">
        <v>12.0212</v>
      </c>
      <c r="C79">
        <f t="shared" si="7"/>
        <v>1.4142588235294118</v>
      </c>
    </row>
    <row r="80" spans="1:5" x14ac:dyDescent="0.25">
      <c r="A80">
        <v>8.25</v>
      </c>
      <c r="B80">
        <v>12.00112</v>
      </c>
      <c r="C80">
        <f t="shared" si="7"/>
        <v>1.454681212121212</v>
      </c>
    </row>
    <row r="81" spans="1:3" x14ac:dyDescent="0.25">
      <c r="A81">
        <v>8</v>
      </c>
      <c r="B81">
        <v>11.9351</v>
      </c>
      <c r="C81">
        <f t="shared" si="7"/>
        <v>1.4918875</v>
      </c>
    </row>
    <row r="82" spans="1:3" x14ac:dyDescent="0.25">
      <c r="A82">
        <v>7.75</v>
      </c>
      <c r="B82">
        <v>11.7841</v>
      </c>
      <c r="C82">
        <f t="shared" si="7"/>
        <v>1.5205290322580647</v>
      </c>
    </row>
    <row r="83" spans="1:3" x14ac:dyDescent="0.25">
      <c r="A83">
        <v>7.5</v>
      </c>
      <c r="B83">
        <v>11.539121</v>
      </c>
      <c r="C83">
        <f t="shared" si="7"/>
        <v>1.5385494666666666</v>
      </c>
    </row>
    <row r="84" spans="1:3" x14ac:dyDescent="0.25">
      <c r="A84">
        <v>7</v>
      </c>
      <c r="B84">
        <v>10.865790000000001</v>
      </c>
      <c r="C84">
        <f t="shared" ref="C84:C91" si="8">B84/A84</f>
        <v>1.5522557142857143</v>
      </c>
    </row>
    <row r="85" spans="1:3" x14ac:dyDescent="0.25">
      <c r="A85">
        <v>6.5</v>
      </c>
      <c r="B85">
        <v>10.138999999999999</v>
      </c>
      <c r="C85">
        <f t="shared" si="8"/>
        <v>1.5598461538461537</v>
      </c>
    </row>
    <row r="86" spans="1:3" x14ac:dyDescent="0.25">
      <c r="A86">
        <v>6</v>
      </c>
      <c r="B86">
        <v>9.3999000000000006</v>
      </c>
      <c r="C86">
        <f t="shared" si="8"/>
        <v>1.5666500000000001</v>
      </c>
    </row>
    <row r="87" spans="1:3" x14ac:dyDescent="0.25">
      <c r="A87">
        <v>5</v>
      </c>
      <c r="B87">
        <v>7.8993500000000001</v>
      </c>
      <c r="C87">
        <f t="shared" si="8"/>
        <v>1.5798700000000001</v>
      </c>
    </row>
    <row r="88" spans="1:3" x14ac:dyDescent="0.25">
      <c r="A88">
        <v>4</v>
      </c>
      <c r="B88">
        <v>6.3849</v>
      </c>
      <c r="C88">
        <f t="shared" si="8"/>
        <v>1.596225</v>
      </c>
    </row>
    <row r="89" spans="1:3" x14ac:dyDescent="0.25">
      <c r="A89">
        <v>3</v>
      </c>
      <c r="B89">
        <v>4.8371000000000004</v>
      </c>
      <c r="C89">
        <f t="shared" si="8"/>
        <v>1.6123666666666667</v>
      </c>
    </row>
    <row r="90" spans="1:3" x14ac:dyDescent="0.25">
      <c r="A90">
        <v>2</v>
      </c>
      <c r="B90">
        <v>3.2589999999999999</v>
      </c>
      <c r="C90">
        <f t="shared" si="8"/>
        <v>1.6294999999999999</v>
      </c>
    </row>
    <row r="91" spans="1:3" x14ac:dyDescent="0.25">
      <c r="A91">
        <v>1</v>
      </c>
      <c r="B91">
        <v>1.6454299999999999</v>
      </c>
      <c r="C91">
        <f t="shared" si="8"/>
        <v>1.6454299999999999</v>
      </c>
    </row>
    <row r="92" spans="1:3" x14ac:dyDescent="0.25">
      <c r="A92">
        <v>0</v>
      </c>
      <c r="B92">
        <v>0</v>
      </c>
      <c r="C92">
        <v>1.6605000000000001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8F62-BAEA-4A40-8231-1ED3B502C0F4}">
  <dimension ref="A1:D22"/>
  <sheetViews>
    <sheetView workbookViewId="0">
      <selection activeCell="J12" sqref="J12"/>
    </sheetView>
  </sheetViews>
  <sheetFormatPr defaultRowHeight="15" x14ac:dyDescent="0.25"/>
  <sheetData>
    <row r="1" spans="1:4" x14ac:dyDescent="0.25">
      <c r="A1" t="s">
        <v>7</v>
      </c>
      <c r="B1" t="s">
        <v>1</v>
      </c>
      <c r="D1" t="s">
        <v>9</v>
      </c>
    </row>
    <row r="2" spans="1:4" x14ac:dyDescent="0.25">
      <c r="A2">
        <v>100</v>
      </c>
      <c r="B2">
        <v>11.705</v>
      </c>
    </row>
    <row r="3" spans="1:4" x14ac:dyDescent="0.25">
      <c r="A3">
        <v>90</v>
      </c>
      <c r="B3">
        <v>11.123799999999999</v>
      </c>
    </row>
    <row r="4" spans="1:4" x14ac:dyDescent="0.25">
      <c r="A4">
        <v>80</v>
      </c>
      <c r="B4">
        <v>10.542299999999999</v>
      </c>
    </row>
    <row r="5" spans="1:4" x14ac:dyDescent="0.25">
      <c r="A5">
        <v>70</v>
      </c>
      <c r="B5">
        <v>9.9605099999999993</v>
      </c>
    </row>
    <row r="6" spans="1:4" x14ac:dyDescent="0.25">
      <c r="A6">
        <v>60</v>
      </c>
      <c r="B6">
        <v>9.3780900000000003</v>
      </c>
    </row>
    <row r="7" spans="1:4" x14ac:dyDescent="0.25">
      <c r="A7">
        <v>50</v>
      </c>
      <c r="B7">
        <v>8.7946299999999997</v>
      </c>
    </row>
    <row r="8" spans="1:4" x14ac:dyDescent="0.25">
      <c r="A8">
        <v>40</v>
      </c>
      <c r="B8">
        <v>8.2092799999999997</v>
      </c>
    </row>
    <row r="9" spans="1:4" x14ac:dyDescent="0.25">
      <c r="A9">
        <v>30</v>
      </c>
      <c r="B9">
        <v>7.62</v>
      </c>
    </row>
    <row r="10" spans="1:4" x14ac:dyDescent="0.25">
      <c r="A10">
        <v>24</v>
      </c>
      <c r="B10">
        <v>7.2622600000000004</v>
      </c>
    </row>
    <row r="11" spans="1:4" x14ac:dyDescent="0.25">
      <c r="A11">
        <v>20</v>
      </c>
      <c r="B11">
        <v>7.0198499999999999</v>
      </c>
    </row>
    <row r="12" spans="1:4" x14ac:dyDescent="0.25">
      <c r="A12">
        <v>17.5</v>
      </c>
      <c r="B12">
        <v>6.8651099999999996</v>
      </c>
    </row>
    <row r="13" spans="1:4" x14ac:dyDescent="0.25">
      <c r="A13">
        <v>15</v>
      </c>
      <c r="B13">
        <v>6.7051999999999996</v>
      </c>
    </row>
    <row r="14" spans="1:4" x14ac:dyDescent="0.25">
      <c r="A14">
        <v>14.5</v>
      </c>
      <c r="B14">
        <v>6.6721199999999996</v>
      </c>
    </row>
    <row r="15" spans="1:4" x14ac:dyDescent="0.25">
      <c r="A15">
        <v>14</v>
      </c>
      <c r="B15">
        <v>6.6384600000000002</v>
      </c>
    </row>
    <row r="16" spans="1:4" x14ac:dyDescent="0.25">
      <c r="A16">
        <v>13.5</v>
      </c>
      <c r="B16">
        <v>6.6040700000000001</v>
      </c>
    </row>
    <row r="17" spans="1:2" x14ac:dyDescent="0.25">
      <c r="A17">
        <v>12.5</v>
      </c>
      <c r="B17">
        <v>6.5319099999999999</v>
      </c>
    </row>
    <row r="18" spans="1:2" x14ac:dyDescent="0.25">
      <c r="A18">
        <v>10</v>
      </c>
      <c r="B18">
        <v>6.1955</v>
      </c>
    </row>
    <row r="19" spans="1:2" x14ac:dyDescent="0.25">
      <c r="A19">
        <v>7.5</v>
      </c>
      <c r="B19">
        <v>4.5521399999999996</v>
      </c>
    </row>
    <row r="20" spans="1:2" x14ac:dyDescent="0.25">
      <c r="A20">
        <v>5</v>
      </c>
      <c r="B20">
        <v>2.7983500000000001</v>
      </c>
    </row>
    <row r="21" spans="1:2" x14ac:dyDescent="0.25">
      <c r="A21">
        <v>2.5</v>
      </c>
      <c r="B21">
        <v>0.92312499999999997</v>
      </c>
    </row>
    <row r="22" spans="1:2" x14ac:dyDescent="0.25">
      <c r="A22">
        <v>0</v>
      </c>
      <c r="B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1218-09E0-4292-8992-1766CA4CC39D}">
  <dimension ref="A1:AG92"/>
  <sheetViews>
    <sheetView tabSelected="1" topLeftCell="A73" workbookViewId="0">
      <selection activeCell="O85" sqref="O85"/>
    </sheetView>
  </sheetViews>
  <sheetFormatPr defaultRowHeight="15" x14ac:dyDescent="0.25"/>
  <cols>
    <col min="2" max="2" width="17.140625" customWidth="1"/>
    <col min="3" max="3" width="19.28515625" customWidth="1"/>
    <col min="5" max="5" width="10.7109375" customWidth="1"/>
    <col min="9" max="9" width="12.7109375" customWidth="1"/>
    <col min="10" max="10" width="20" customWidth="1"/>
    <col min="12" max="12" width="12" customWidth="1"/>
    <col min="15" max="15" width="18.28515625" customWidth="1"/>
    <col min="17" max="17" width="17.42578125" customWidth="1"/>
    <col min="20" max="20" width="13.28515625" customWidth="1"/>
    <col min="22" max="22" width="14" customWidth="1"/>
  </cols>
  <sheetData>
    <row r="1" spans="1:33" x14ac:dyDescent="0.25">
      <c r="A1" t="s">
        <v>0</v>
      </c>
      <c r="B1" t="s">
        <v>1</v>
      </c>
      <c r="C1" t="s">
        <v>2</v>
      </c>
      <c r="E1" t="s">
        <v>3</v>
      </c>
      <c r="I1" t="s">
        <v>7</v>
      </c>
      <c r="J1" t="s">
        <v>1</v>
      </c>
      <c r="L1" t="s">
        <v>8</v>
      </c>
      <c r="N1" t="s">
        <v>7</v>
      </c>
      <c r="O1" t="s">
        <v>1</v>
      </c>
      <c r="Q1" t="s">
        <v>9</v>
      </c>
    </row>
    <row r="2" spans="1:33" x14ac:dyDescent="0.25">
      <c r="A2" t="s">
        <v>4</v>
      </c>
      <c r="B2">
        <v>11.995100000000001</v>
      </c>
      <c r="C2">
        <v>0</v>
      </c>
      <c r="I2">
        <v>100</v>
      </c>
      <c r="J2">
        <v>12.131600000000001</v>
      </c>
      <c r="N2">
        <v>100</v>
      </c>
      <c r="O2">
        <v>11.969200000000001</v>
      </c>
      <c r="AE2" t="s">
        <v>12</v>
      </c>
    </row>
    <row r="3" spans="1:33" x14ac:dyDescent="0.25">
      <c r="A3">
        <v>100</v>
      </c>
      <c r="B3">
        <v>11.995100000000001</v>
      </c>
      <c r="C3">
        <f t="shared" ref="C3:C28" si="0">B3/A3</f>
        <v>0.119951</v>
      </c>
      <c r="I3">
        <v>90</v>
      </c>
      <c r="J3">
        <v>12.116099999999999</v>
      </c>
      <c r="N3">
        <v>90</v>
      </c>
      <c r="O3">
        <v>11.924200000000001</v>
      </c>
      <c r="AE3" t="s">
        <v>13</v>
      </c>
      <c r="AF3">
        <v>39</v>
      </c>
      <c r="AG3">
        <v>41</v>
      </c>
    </row>
    <row r="4" spans="1:33" x14ac:dyDescent="0.25">
      <c r="A4">
        <v>70</v>
      </c>
      <c r="B4">
        <v>11.995100000000001</v>
      </c>
      <c r="C4">
        <f t="shared" si="0"/>
        <v>0.17135857142857144</v>
      </c>
      <c r="I4">
        <v>80</v>
      </c>
      <c r="J4">
        <v>12.098800000000001</v>
      </c>
      <c r="N4">
        <v>80</v>
      </c>
      <c r="O4">
        <v>11.895619999999999</v>
      </c>
      <c r="AE4" t="s">
        <v>14</v>
      </c>
      <c r="AF4">
        <v>11.991300000000001</v>
      </c>
      <c r="AG4">
        <v>11.998900000000001</v>
      </c>
    </row>
    <row r="5" spans="1:33" x14ac:dyDescent="0.25">
      <c r="A5">
        <v>60</v>
      </c>
      <c r="B5">
        <v>11.995100000000001</v>
      </c>
      <c r="C5">
        <f t="shared" si="0"/>
        <v>0.19991833333333334</v>
      </c>
      <c r="I5">
        <v>70</v>
      </c>
      <c r="J5">
        <v>12.079000000000001</v>
      </c>
      <c r="N5">
        <v>70</v>
      </c>
      <c r="O5">
        <v>11.868320000000001</v>
      </c>
    </row>
    <row r="6" spans="1:33" x14ac:dyDescent="0.25">
      <c r="A6">
        <v>50</v>
      </c>
      <c r="B6">
        <v>11.995100000000001</v>
      </c>
      <c r="C6">
        <f t="shared" si="0"/>
        <v>0.239902</v>
      </c>
      <c r="I6">
        <v>60</v>
      </c>
      <c r="J6">
        <v>12.056100000000001</v>
      </c>
      <c r="N6">
        <v>60</v>
      </c>
      <c r="O6">
        <v>11.82342</v>
      </c>
      <c r="AE6" t="s">
        <v>15</v>
      </c>
    </row>
    <row r="7" spans="1:33" x14ac:dyDescent="0.25">
      <c r="A7">
        <v>40</v>
      </c>
      <c r="B7">
        <v>11.995100000000001</v>
      </c>
      <c r="C7">
        <f t="shared" si="0"/>
        <v>0.29987750000000002</v>
      </c>
      <c r="I7">
        <v>50</v>
      </c>
      <c r="J7">
        <v>12.0289</v>
      </c>
      <c r="N7">
        <v>50</v>
      </c>
      <c r="O7">
        <v>11.784972</v>
      </c>
    </row>
    <row r="8" spans="1:33" x14ac:dyDescent="0.25">
      <c r="A8">
        <v>30</v>
      </c>
      <c r="B8">
        <v>11.995100000000001</v>
      </c>
      <c r="C8">
        <f t="shared" si="0"/>
        <v>0.39983666666666667</v>
      </c>
      <c r="I8">
        <v>40</v>
      </c>
      <c r="J8">
        <v>11.995100000000001</v>
      </c>
      <c r="N8">
        <v>40</v>
      </c>
      <c r="O8">
        <v>11.7219</v>
      </c>
    </row>
    <row r="9" spans="1:33" x14ac:dyDescent="0.25">
      <c r="A9">
        <v>20</v>
      </c>
      <c r="B9">
        <v>11.995100000000001</v>
      </c>
      <c r="C9">
        <f t="shared" si="0"/>
        <v>0.59975500000000004</v>
      </c>
      <c r="I9">
        <v>30</v>
      </c>
      <c r="J9">
        <v>11.950900000000001</v>
      </c>
      <c r="N9">
        <v>30</v>
      </c>
      <c r="O9">
        <v>11.613516000000001</v>
      </c>
      <c r="AE9" t="s">
        <v>16</v>
      </c>
    </row>
    <row r="10" spans="1:33" x14ac:dyDescent="0.25">
      <c r="A10">
        <v>17.5</v>
      </c>
      <c r="B10">
        <v>11.995100000000001</v>
      </c>
      <c r="C10">
        <f t="shared" si="0"/>
        <v>0.68543428571428577</v>
      </c>
      <c r="I10">
        <v>24</v>
      </c>
      <c r="J10">
        <v>11.901899999999999</v>
      </c>
      <c r="N10">
        <v>25</v>
      </c>
      <c r="O10">
        <v>11.476820999999999</v>
      </c>
      <c r="AE10" t="s">
        <v>13</v>
      </c>
      <c r="AF10">
        <v>39</v>
      </c>
      <c r="AG10">
        <v>41</v>
      </c>
    </row>
    <row r="11" spans="1:33" x14ac:dyDescent="0.25">
      <c r="A11">
        <v>15</v>
      </c>
      <c r="B11">
        <v>11.995100000000001</v>
      </c>
      <c r="C11">
        <f t="shared" si="0"/>
        <v>0.79967333333333335</v>
      </c>
      <c r="I11">
        <v>20</v>
      </c>
      <c r="J11">
        <v>11.7905</v>
      </c>
      <c r="N11">
        <v>22</v>
      </c>
      <c r="O11">
        <v>11.23291</v>
      </c>
      <c r="AE11" t="s">
        <v>14</v>
      </c>
      <c r="AF11">
        <v>11.720700000000001</v>
      </c>
      <c r="AG11">
        <v>11.729799999999999</v>
      </c>
    </row>
    <row r="12" spans="1:33" x14ac:dyDescent="0.25">
      <c r="A12">
        <v>13.5</v>
      </c>
      <c r="B12">
        <v>11.995100000000001</v>
      </c>
      <c r="C12">
        <f t="shared" si="0"/>
        <v>0.88852592592592594</v>
      </c>
      <c r="I12">
        <v>17.5</v>
      </c>
      <c r="J12">
        <v>11.5223</v>
      </c>
      <c r="N12">
        <v>19.5</v>
      </c>
      <c r="O12">
        <v>10.859260000000001</v>
      </c>
    </row>
    <row r="13" spans="1:33" x14ac:dyDescent="0.25">
      <c r="A13">
        <v>12</v>
      </c>
      <c r="B13">
        <v>11.995100000000001</v>
      </c>
      <c r="C13">
        <f t="shared" si="0"/>
        <v>0.99959166666666677</v>
      </c>
      <c r="I13">
        <v>15</v>
      </c>
      <c r="J13">
        <v>10.956709999999999</v>
      </c>
      <c r="N13">
        <v>17.5</v>
      </c>
      <c r="O13">
        <v>10.215210000000001</v>
      </c>
      <c r="AE13" t="s">
        <v>17</v>
      </c>
    </row>
    <row r="14" spans="1:33" x14ac:dyDescent="0.25">
      <c r="A14">
        <v>11.5</v>
      </c>
      <c r="B14">
        <v>11.994999999999999</v>
      </c>
      <c r="C14">
        <f t="shared" si="0"/>
        <v>1.0430434782608695</v>
      </c>
      <c r="I14">
        <v>13.5</v>
      </c>
      <c r="J14">
        <v>10.268800000000001</v>
      </c>
      <c r="N14">
        <v>15</v>
      </c>
      <c r="O14">
        <v>9.2172099999999997</v>
      </c>
    </row>
    <row r="15" spans="1:33" x14ac:dyDescent="0.25">
      <c r="A15">
        <v>10</v>
      </c>
      <c r="B15">
        <v>11.9421</v>
      </c>
      <c r="C15">
        <f t="shared" si="0"/>
        <v>1.19421</v>
      </c>
      <c r="I15">
        <v>12.5</v>
      </c>
      <c r="J15">
        <v>9.4654600000000002</v>
      </c>
      <c r="N15">
        <v>12.5</v>
      </c>
      <c r="O15">
        <v>7.7319100000000001</v>
      </c>
      <c r="AE15" t="s">
        <v>18</v>
      </c>
    </row>
    <row r="16" spans="1:33" x14ac:dyDescent="0.25">
      <c r="A16">
        <v>9.5</v>
      </c>
      <c r="B16">
        <v>11.891310000000001</v>
      </c>
      <c r="C16">
        <f t="shared" si="0"/>
        <v>1.2517168421052631</v>
      </c>
      <c r="I16">
        <v>10</v>
      </c>
      <c r="J16">
        <v>7.4275099999999998</v>
      </c>
      <c r="N16">
        <v>10</v>
      </c>
      <c r="O16">
        <v>6.1654999999999998</v>
      </c>
      <c r="AE16" t="s">
        <v>13</v>
      </c>
      <c r="AF16">
        <v>39</v>
      </c>
      <c r="AG16">
        <v>41</v>
      </c>
    </row>
    <row r="17" spans="1:33" x14ac:dyDescent="0.25">
      <c r="A17">
        <v>9.25</v>
      </c>
      <c r="B17">
        <v>11.84511</v>
      </c>
      <c r="C17">
        <f t="shared" si="0"/>
        <v>1.2805524324324324</v>
      </c>
      <c r="I17">
        <v>7.5</v>
      </c>
      <c r="J17">
        <v>5.3452900000000003</v>
      </c>
      <c r="N17">
        <v>7.5</v>
      </c>
      <c r="O17">
        <v>4.5521399999999996</v>
      </c>
      <c r="AE17" t="s">
        <v>14</v>
      </c>
      <c r="AF17">
        <v>11.9918</v>
      </c>
      <c r="AG17">
        <v>11.99898</v>
      </c>
    </row>
    <row r="18" spans="1:33" x14ac:dyDescent="0.25">
      <c r="A18">
        <v>9</v>
      </c>
      <c r="B18">
        <v>11.75934</v>
      </c>
      <c r="C18">
        <f t="shared" si="0"/>
        <v>1.3065933333333333</v>
      </c>
      <c r="I18">
        <v>5</v>
      </c>
      <c r="J18">
        <v>3.3547199999999999</v>
      </c>
      <c r="N18">
        <v>5</v>
      </c>
      <c r="O18">
        <v>2.7983500000000001</v>
      </c>
    </row>
    <row r="19" spans="1:33" x14ac:dyDescent="0.25">
      <c r="A19">
        <v>8.75</v>
      </c>
      <c r="B19">
        <v>11.5831</v>
      </c>
      <c r="C19">
        <f t="shared" si="0"/>
        <v>1.3237828571428572</v>
      </c>
      <c r="I19">
        <v>2.5</v>
      </c>
      <c r="J19">
        <v>1.51203</v>
      </c>
      <c r="N19">
        <v>2.5</v>
      </c>
      <c r="O19">
        <v>1.2512315000000001</v>
      </c>
      <c r="AE19" t="s">
        <v>19</v>
      </c>
    </row>
    <row r="20" spans="1:33" x14ac:dyDescent="0.25">
      <c r="A20">
        <v>8.5</v>
      </c>
      <c r="B20">
        <v>11.3361</v>
      </c>
      <c r="C20">
        <f t="shared" si="0"/>
        <v>1.3336588235294118</v>
      </c>
      <c r="I20">
        <v>0</v>
      </c>
      <c r="J20">
        <v>0</v>
      </c>
      <c r="N20">
        <v>0</v>
      </c>
      <c r="O20">
        <v>0</v>
      </c>
    </row>
    <row r="21" spans="1:33" x14ac:dyDescent="0.25">
      <c r="A21">
        <v>8</v>
      </c>
      <c r="B21">
        <v>10.757999999999999</v>
      </c>
      <c r="C21">
        <f t="shared" si="0"/>
        <v>1.3447499999999999</v>
      </c>
    </row>
    <row r="22" spans="1:33" x14ac:dyDescent="0.25">
      <c r="A22">
        <v>7</v>
      </c>
      <c r="B22">
        <v>9.5049130999999996</v>
      </c>
      <c r="C22">
        <f t="shared" si="0"/>
        <v>1.3578447285714286</v>
      </c>
      <c r="AE22" t="s">
        <v>20</v>
      </c>
    </row>
    <row r="23" spans="1:33" x14ac:dyDescent="0.25">
      <c r="A23">
        <v>6</v>
      </c>
      <c r="B23">
        <v>8.2271800000000006</v>
      </c>
      <c r="C23">
        <f t="shared" si="0"/>
        <v>1.3711966666666668</v>
      </c>
      <c r="N23" t="s">
        <v>7</v>
      </c>
      <c r="O23" t="s">
        <v>1</v>
      </c>
      <c r="Q23" t="s">
        <v>10</v>
      </c>
      <c r="AE23" t="s">
        <v>13</v>
      </c>
      <c r="AF23">
        <v>39</v>
      </c>
      <c r="AG23">
        <v>41</v>
      </c>
    </row>
    <row r="24" spans="1:33" x14ac:dyDescent="0.25">
      <c r="A24">
        <v>5</v>
      </c>
      <c r="B24">
        <v>6.9300100000000002</v>
      </c>
      <c r="C24">
        <f t="shared" si="0"/>
        <v>1.386002</v>
      </c>
      <c r="N24">
        <v>100</v>
      </c>
      <c r="O24">
        <v>12.131600000000001</v>
      </c>
      <c r="AE24" t="s">
        <v>14</v>
      </c>
      <c r="AF24">
        <v>11.9925</v>
      </c>
      <c r="AG24">
        <v>11.99898</v>
      </c>
    </row>
    <row r="25" spans="1:33" x14ac:dyDescent="0.25">
      <c r="A25">
        <v>4</v>
      </c>
      <c r="B25">
        <v>5.6012000000000004</v>
      </c>
      <c r="C25">
        <f t="shared" si="0"/>
        <v>1.4003000000000001</v>
      </c>
      <c r="N25">
        <v>90</v>
      </c>
      <c r="O25">
        <v>12.116199999999999</v>
      </c>
    </row>
    <row r="26" spans="1:33" x14ac:dyDescent="0.25">
      <c r="A26">
        <v>3</v>
      </c>
      <c r="B26">
        <v>4.2401200000000001</v>
      </c>
      <c r="C26">
        <f t="shared" si="0"/>
        <v>1.4133733333333334</v>
      </c>
      <c r="N26">
        <v>80</v>
      </c>
      <c r="O26">
        <v>12.098800000000001</v>
      </c>
      <c r="AE26" t="s">
        <v>21</v>
      </c>
    </row>
    <row r="27" spans="1:33" x14ac:dyDescent="0.25">
      <c r="A27">
        <v>2</v>
      </c>
      <c r="B27">
        <v>2.8525800000000001</v>
      </c>
      <c r="C27">
        <f t="shared" si="0"/>
        <v>1.4262900000000001</v>
      </c>
      <c r="N27">
        <v>70</v>
      </c>
      <c r="O27">
        <v>12.0791</v>
      </c>
      <c r="Z27">
        <v>0</v>
      </c>
      <c r="AA27">
        <v>40</v>
      </c>
    </row>
    <row r="28" spans="1:33" x14ac:dyDescent="0.25">
      <c r="A28">
        <v>1</v>
      </c>
      <c r="B28">
        <v>1.4399</v>
      </c>
      <c r="C28">
        <f t="shared" si="0"/>
        <v>1.4399</v>
      </c>
      <c r="N28">
        <v>60</v>
      </c>
      <c r="O28">
        <v>12.056100000000001</v>
      </c>
      <c r="S28" t="s">
        <v>7</v>
      </c>
      <c r="T28" t="s">
        <v>1</v>
      </c>
      <c r="V28" t="s">
        <v>11</v>
      </c>
      <c r="Z28">
        <v>16</v>
      </c>
      <c r="AA28">
        <v>40</v>
      </c>
    </row>
    <row r="29" spans="1:33" x14ac:dyDescent="0.25">
      <c r="A29">
        <v>0</v>
      </c>
      <c r="B29">
        <v>0</v>
      </c>
      <c r="C29">
        <v>1.4540299999999999</v>
      </c>
      <c r="N29">
        <v>50</v>
      </c>
      <c r="O29">
        <v>12.0289</v>
      </c>
      <c r="S29">
        <v>100</v>
      </c>
      <c r="T29">
        <v>12.131600000000001</v>
      </c>
    </row>
    <row r="30" spans="1:33" x14ac:dyDescent="0.25">
      <c r="N30">
        <v>40</v>
      </c>
      <c r="O30">
        <v>11.995100000000001</v>
      </c>
      <c r="S30">
        <v>90</v>
      </c>
      <c r="T30">
        <v>12.116199999999999</v>
      </c>
    </row>
    <row r="31" spans="1:33" x14ac:dyDescent="0.25">
      <c r="N31">
        <v>30</v>
      </c>
      <c r="O31">
        <v>11.951000000000001</v>
      </c>
      <c r="S31">
        <v>80</v>
      </c>
      <c r="T31">
        <v>12.098800000000001</v>
      </c>
    </row>
    <row r="32" spans="1:33" x14ac:dyDescent="0.25">
      <c r="A32" t="s">
        <v>0</v>
      </c>
      <c r="B32" t="s">
        <v>1</v>
      </c>
      <c r="C32" t="s">
        <v>2</v>
      </c>
      <c r="N32">
        <v>24</v>
      </c>
      <c r="O32">
        <v>11.916</v>
      </c>
      <c r="S32">
        <v>70</v>
      </c>
      <c r="T32">
        <v>12.0792</v>
      </c>
    </row>
    <row r="33" spans="1:20" x14ac:dyDescent="0.25">
      <c r="A33" t="s">
        <v>4</v>
      </c>
      <c r="B33">
        <v>11.940200000000001</v>
      </c>
      <c r="C33">
        <v>0</v>
      </c>
      <c r="N33">
        <v>20</v>
      </c>
      <c r="O33">
        <v>11.886699999999999</v>
      </c>
      <c r="S33">
        <v>60</v>
      </c>
      <c r="T33">
        <v>12.0562</v>
      </c>
    </row>
    <row r="34" spans="1:20" x14ac:dyDescent="0.25">
      <c r="A34">
        <v>100</v>
      </c>
      <c r="B34">
        <v>11.940200000000001</v>
      </c>
      <c r="C34">
        <f t="shared" ref="C34:C58" si="1">B34/A34</f>
        <v>0.11940200000000001</v>
      </c>
      <c r="E34" t="s">
        <v>5</v>
      </c>
      <c r="N34">
        <v>17</v>
      </c>
      <c r="O34">
        <v>11.793710000000001</v>
      </c>
      <c r="S34">
        <v>50</v>
      </c>
      <c r="T34">
        <v>12.0289</v>
      </c>
    </row>
    <row r="35" spans="1:20" x14ac:dyDescent="0.25">
      <c r="A35">
        <v>70</v>
      </c>
      <c r="B35">
        <v>11.940200000000001</v>
      </c>
      <c r="C35">
        <f t="shared" si="1"/>
        <v>0.17057428571428573</v>
      </c>
      <c r="I35">
        <v>0</v>
      </c>
      <c r="J35">
        <v>2</v>
      </c>
      <c r="N35">
        <v>15</v>
      </c>
      <c r="O35">
        <v>11.51521</v>
      </c>
      <c r="S35">
        <v>40</v>
      </c>
      <c r="T35">
        <v>11.995100000000001</v>
      </c>
    </row>
    <row r="36" spans="1:20" x14ac:dyDescent="0.25">
      <c r="A36">
        <v>60</v>
      </c>
      <c r="B36">
        <v>11.940200000000001</v>
      </c>
      <c r="C36">
        <f t="shared" si="1"/>
        <v>0.19900333333333334</v>
      </c>
      <c r="I36">
        <v>0</v>
      </c>
      <c r="J36">
        <v>24</v>
      </c>
      <c r="N36">
        <v>13</v>
      </c>
      <c r="O36">
        <v>10.991720000000001</v>
      </c>
      <c r="S36">
        <v>30</v>
      </c>
      <c r="T36">
        <v>11.951000000000001</v>
      </c>
    </row>
    <row r="37" spans="1:20" x14ac:dyDescent="0.25">
      <c r="A37">
        <v>50</v>
      </c>
      <c r="B37">
        <v>11.940200000000001</v>
      </c>
      <c r="C37">
        <f t="shared" si="1"/>
        <v>0.23880400000000002</v>
      </c>
      <c r="N37">
        <v>12</v>
      </c>
      <c r="O37">
        <v>10.5587</v>
      </c>
      <c r="S37">
        <v>24</v>
      </c>
      <c r="T37">
        <v>11.916</v>
      </c>
    </row>
    <row r="38" spans="1:20" x14ac:dyDescent="0.25">
      <c r="A38">
        <v>40</v>
      </c>
      <c r="B38">
        <v>11.940200000000001</v>
      </c>
      <c r="C38">
        <f t="shared" si="1"/>
        <v>0.29850500000000002</v>
      </c>
      <c r="N38">
        <v>11</v>
      </c>
      <c r="O38">
        <v>9.86721</v>
      </c>
      <c r="S38">
        <v>20</v>
      </c>
      <c r="T38">
        <v>11.896800000000001</v>
      </c>
    </row>
    <row r="39" spans="1:20" x14ac:dyDescent="0.25">
      <c r="A39">
        <v>30</v>
      </c>
      <c r="B39">
        <v>11.940200000000001</v>
      </c>
      <c r="C39">
        <f t="shared" si="1"/>
        <v>0.39800666666666668</v>
      </c>
      <c r="N39">
        <v>10</v>
      </c>
      <c r="O39">
        <v>8.9801000000000002</v>
      </c>
      <c r="S39">
        <v>17</v>
      </c>
      <c r="T39">
        <v>11.8767</v>
      </c>
    </row>
    <row r="40" spans="1:20" x14ac:dyDescent="0.25">
      <c r="A40">
        <v>20</v>
      </c>
      <c r="B40">
        <v>11.940200000000001</v>
      </c>
      <c r="C40">
        <f t="shared" si="1"/>
        <v>0.59701000000000004</v>
      </c>
      <c r="N40">
        <v>8.5</v>
      </c>
      <c r="O40">
        <v>7.5921399999999997</v>
      </c>
      <c r="S40">
        <v>15</v>
      </c>
      <c r="T40">
        <v>11.8192</v>
      </c>
    </row>
    <row r="41" spans="1:20" x14ac:dyDescent="0.25">
      <c r="A41">
        <v>17.5</v>
      </c>
      <c r="B41">
        <v>11.940200000000001</v>
      </c>
      <c r="C41">
        <f t="shared" si="1"/>
        <v>0.68229714285714294</v>
      </c>
      <c r="N41">
        <v>7.5</v>
      </c>
      <c r="O41">
        <v>6.7131559999999997</v>
      </c>
      <c r="S41">
        <v>13</v>
      </c>
      <c r="T41">
        <v>11.632099999999999</v>
      </c>
    </row>
    <row r="42" spans="1:20" x14ac:dyDescent="0.25">
      <c r="A42">
        <v>15</v>
      </c>
      <c r="B42">
        <v>11.940200000000001</v>
      </c>
      <c r="C42">
        <f t="shared" si="1"/>
        <v>0.79601333333333335</v>
      </c>
      <c r="N42">
        <v>6.5</v>
      </c>
      <c r="O42">
        <v>5.6745210000000004</v>
      </c>
      <c r="S42">
        <v>12</v>
      </c>
      <c r="T42">
        <v>11.353260000000001</v>
      </c>
    </row>
    <row r="43" spans="1:20" x14ac:dyDescent="0.25">
      <c r="A43">
        <v>13.5</v>
      </c>
      <c r="B43">
        <v>11.940200000000001</v>
      </c>
      <c r="C43">
        <f t="shared" si="1"/>
        <v>0.88445925925925928</v>
      </c>
      <c r="N43">
        <v>5</v>
      </c>
      <c r="O43">
        <v>4.3223500000000001</v>
      </c>
      <c r="S43">
        <v>11</v>
      </c>
      <c r="T43">
        <v>10.89514</v>
      </c>
    </row>
    <row r="44" spans="1:20" x14ac:dyDescent="0.25">
      <c r="A44">
        <v>12</v>
      </c>
      <c r="B44">
        <v>11.940200000000001</v>
      </c>
      <c r="C44">
        <f t="shared" si="1"/>
        <v>0.99501666666666677</v>
      </c>
      <c r="N44">
        <v>2.5</v>
      </c>
      <c r="O44">
        <v>1.9750970000000001</v>
      </c>
      <c r="S44">
        <v>10</v>
      </c>
      <c r="T44">
        <v>10.23462</v>
      </c>
    </row>
    <row r="45" spans="1:20" x14ac:dyDescent="0.25">
      <c r="A45">
        <v>11.5</v>
      </c>
      <c r="B45">
        <v>11.936500000000001</v>
      </c>
      <c r="C45">
        <f t="shared" si="1"/>
        <v>1.0379565217391304</v>
      </c>
      <c r="N45">
        <v>0</v>
      </c>
      <c r="O45">
        <v>0</v>
      </c>
      <c r="S45">
        <v>9</v>
      </c>
      <c r="T45">
        <v>9.5518599999999996</v>
      </c>
    </row>
    <row r="46" spans="1:20" x14ac:dyDescent="0.25">
      <c r="A46">
        <v>10.5</v>
      </c>
      <c r="B46">
        <v>11.855600000000001</v>
      </c>
      <c r="C46">
        <f t="shared" si="1"/>
        <v>1.1291047619047621</v>
      </c>
      <c r="S46">
        <v>8.5</v>
      </c>
      <c r="T46">
        <v>8.9834999999999994</v>
      </c>
    </row>
    <row r="47" spans="1:20" x14ac:dyDescent="0.25">
      <c r="A47">
        <v>10</v>
      </c>
      <c r="B47">
        <v>11.690123</v>
      </c>
      <c r="C47">
        <f t="shared" si="1"/>
        <v>1.1690122999999999</v>
      </c>
      <c r="S47">
        <v>7.5</v>
      </c>
      <c r="T47">
        <v>7.9957099999999999</v>
      </c>
    </row>
    <row r="48" spans="1:20" x14ac:dyDescent="0.25">
      <c r="A48">
        <v>9.5</v>
      </c>
      <c r="B48">
        <v>11.373699999999999</v>
      </c>
      <c r="C48">
        <f t="shared" si="1"/>
        <v>1.1972315789473684</v>
      </c>
      <c r="S48">
        <v>6.5</v>
      </c>
      <c r="T48">
        <v>6.8875609999999998</v>
      </c>
    </row>
    <row r="49" spans="1:20" x14ac:dyDescent="0.25">
      <c r="A49">
        <v>9</v>
      </c>
      <c r="B49">
        <v>10.904120000000001</v>
      </c>
      <c r="C49">
        <f t="shared" si="1"/>
        <v>1.2115688888888889</v>
      </c>
      <c r="S49">
        <v>5</v>
      </c>
      <c r="T49">
        <v>5.2526400000000004</v>
      </c>
    </row>
    <row r="50" spans="1:20" x14ac:dyDescent="0.25">
      <c r="A50">
        <v>8.5</v>
      </c>
      <c r="B50">
        <v>10.379</v>
      </c>
      <c r="C50">
        <f t="shared" si="1"/>
        <v>1.2210588235294118</v>
      </c>
      <c r="S50">
        <v>3.5</v>
      </c>
      <c r="T50">
        <v>3.5703499999999999</v>
      </c>
    </row>
    <row r="51" spans="1:20" x14ac:dyDescent="0.25">
      <c r="A51">
        <v>8</v>
      </c>
      <c r="B51">
        <v>9.8252699999999997</v>
      </c>
      <c r="C51">
        <f t="shared" si="1"/>
        <v>1.22815875</v>
      </c>
      <c r="S51">
        <v>2.5</v>
      </c>
      <c r="T51">
        <v>2.5315599999999998</v>
      </c>
    </row>
    <row r="52" spans="1:20" x14ac:dyDescent="0.25">
      <c r="A52">
        <v>7</v>
      </c>
      <c r="B52">
        <v>8.6838099999999994</v>
      </c>
      <c r="C52">
        <f t="shared" si="1"/>
        <v>1.2405442857142857</v>
      </c>
      <c r="S52">
        <v>0</v>
      </c>
      <c r="T52">
        <v>0</v>
      </c>
    </row>
    <row r="53" spans="1:20" x14ac:dyDescent="0.25">
      <c r="A53">
        <v>6</v>
      </c>
      <c r="B53">
        <v>7.5252699999999999</v>
      </c>
      <c r="C53">
        <f t="shared" si="1"/>
        <v>1.2542116666666667</v>
      </c>
    </row>
    <row r="54" spans="1:20" x14ac:dyDescent="0.25">
      <c r="A54">
        <v>5</v>
      </c>
      <c r="B54">
        <v>6.3250700000000002</v>
      </c>
      <c r="C54">
        <f t="shared" si="1"/>
        <v>1.2650140000000001</v>
      </c>
    </row>
    <row r="55" spans="1:20" x14ac:dyDescent="0.25">
      <c r="A55">
        <v>4</v>
      </c>
      <c r="B55">
        <v>5.10731</v>
      </c>
      <c r="C55">
        <f t="shared" si="1"/>
        <v>1.2768275</v>
      </c>
    </row>
    <row r="56" spans="1:20" x14ac:dyDescent="0.25">
      <c r="A56">
        <v>3</v>
      </c>
      <c r="B56">
        <v>3.8691300000000002</v>
      </c>
      <c r="C56">
        <f t="shared" si="1"/>
        <v>1.2897100000000001</v>
      </c>
    </row>
    <row r="57" spans="1:20" x14ac:dyDescent="0.25">
      <c r="A57">
        <v>2</v>
      </c>
      <c r="B57">
        <v>2.6050499999999999</v>
      </c>
      <c r="C57">
        <f t="shared" si="1"/>
        <v>1.3025249999999999</v>
      </c>
    </row>
    <row r="58" spans="1:20" x14ac:dyDescent="0.25">
      <c r="A58">
        <v>1</v>
      </c>
      <c r="B58">
        <v>1.3161799999999999</v>
      </c>
      <c r="C58">
        <f t="shared" si="1"/>
        <v>1.3161799999999999</v>
      </c>
    </row>
    <row r="59" spans="1:20" x14ac:dyDescent="0.25">
      <c r="A59">
        <v>0</v>
      </c>
      <c r="B59">
        <v>0</v>
      </c>
      <c r="C59">
        <v>1.3294299999999999</v>
      </c>
    </row>
    <row r="61" spans="1:20" x14ac:dyDescent="0.25">
      <c r="A61" t="s">
        <v>0</v>
      </c>
      <c r="B61" t="s">
        <v>1</v>
      </c>
      <c r="C61" t="s">
        <v>2</v>
      </c>
    </row>
    <row r="62" spans="1:20" x14ac:dyDescent="0.25">
      <c r="A62" t="s">
        <v>4</v>
      </c>
      <c r="B62">
        <v>12.0562</v>
      </c>
      <c r="C62">
        <v>0</v>
      </c>
    </row>
    <row r="63" spans="1:20" x14ac:dyDescent="0.25">
      <c r="A63">
        <v>100</v>
      </c>
      <c r="B63">
        <v>12.056100000000001</v>
      </c>
      <c r="C63">
        <f t="shared" ref="C63:C91" si="2">B63/A63</f>
        <v>0.120561</v>
      </c>
    </row>
    <row r="64" spans="1:20" x14ac:dyDescent="0.25">
      <c r="A64">
        <v>70</v>
      </c>
      <c r="B64">
        <v>12.056100000000001</v>
      </c>
      <c r="C64">
        <f t="shared" si="2"/>
        <v>0.17223000000000002</v>
      </c>
    </row>
    <row r="65" spans="1:5" x14ac:dyDescent="0.25">
      <c r="A65">
        <v>60</v>
      </c>
      <c r="B65">
        <v>12.056100000000001</v>
      </c>
      <c r="C65">
        <f t="shared" si="2"/>
        <v>0.200935</v>
      </c>
      <c r="E65" t="s">
        <v>6</v>
      </c>
    </row>
    <row r="66" spans="1:5" x14ac:dyDescent="0.25">
      <c r="A66">
        <v>50</v>
      </c>
      <c r="B66">
        <v>12.056100000000001</v>
      </c>
      <c r="C66">
        <f t="shared" si="2"/>
        <v>0.241122</v>
      </c>
    </row>
    <row r="67" spans="1:5" x14ac:dyDescent="0.25">
      <c r="A67">
        <v>40</v>
      </c>
      <c r="B67">
        <v>12.056100000000001</v>
      </c>
      <c r="C67">
        <f t="shared" si="2"/>
        <v>0.30140250000000002</v>
      </c>
    </row>
    <row r="68" spans="1:5" x14ac:dyDescent="0.25">
      <c r="A68">
        <v>30</v>
      </c>
      <c r="B68">
        <v>12.056100000000001</v>
      </c>
      <c r="C68">
        <f t="shared" si="2"/>
        <v>0.40187</v>
      </c>
    </row>
    <row r="69" spans="1:5" x14ac:dyDescent="0.25">
      <c r="A69">
        <v>20</v>
      </c>
      <c r="B69">
        <v>12.056100000000001</v>
      </c>
      <c r="C69">
        <f t="shared" si="2"/>
        <v>0.60280500000000004</v>
      </c>
    </row>
    <row r="70" spans="1:5" x14ac:dyDescent="0.25">
      <c r="A70">
        <v>17.5</v>
      </c>
      <c r="B70">
        <v>12.056100000000001</v>
      </c>
      <c r="C70">
        <f t="shared" si="2"/>
        <v>0.68892000000000009</v>
      </c>
    </row>
    <row r="71" spans="1:5" x14ac:dyDescent="0.25">
      <c r="A71">
        <v>15</v>
      </c>
      <c r="B71">
        <v>12.056100000000001</v>
      </c>
      <c r="C71">
        <f t="shared" si="2"/>
        <v>0.80374000000000001</v>
      </c>
    </row>
    <row r="72" spans="1:5" x14ac:dyDescent="0.25">
      <c r="A72">
        <v>13.5</v>
      </c>
      <c r="B72">
        <v>12.056100000000001</v>
      </c>
      <c r="C72">
        <f t="shared" si="2"/>
        <v>0.89304444444444453</v>
      </c>
    </row>
    <row r="73" spans="1:5" x14ac:dyDescent="0.25">
      <c r="A73">
        <v>12</v>
      </c>
      <c r="B73">
        <v>12.056100000000001</v>
      </c>
      <c r="C73">
        <f t="shared" si="2"/>
        <v>1.004675</v>
      </c>
    </row>
    <row r="74" spans="1:5" x14ac:dyDescent="0.25">
      <c r="A74">
        <v>11.5</v>
      </c>
      <c r="B74">
        <v>12.053000000000001</v>
      </c>
      <c r="C74">
        <f t="shared" si="2"/>
        <v>1.0480869565217392</v>
      </c>
    </row>
    <row r="75" spans="1:5" x14ac:dyDescent="0.25">
      <c r="A75">
        <v>10.5</v>
      </c>
      <c r="B75">
        <v>12.040100000000001</v>
      </c>
      <c r="C75">
        <f t="shared" si="2"/>
        <v>1.1466761904761906</v>
      </c>
    </row>
    <row r="76" spans="1:5" x14ac:dyDescent="0.25">
      <c r="A76">
        <v>10</v>
      </c>
      <c r="B76">
        <v>12.040100000000001</v>
      </c>
      <c r="C76">
        <f t="shared" si="2"/>
        <v>1.20401</v>
      </c>
    </row>
    <row r="77" spans="1:5" x14ac:dyDescent="0.25">
      <c r="A77">
        <v>9.5</v>
      </c>
      <c r="B77">
        <v>12.040100000000001</v>
      </c>
      <c r="C77">
        <f t="shared" si="2"/>
        <v>1.2673789473684212</v>
      </c>
    </row>
    <row r="78" spans="1:5" x14ac:dyDescent="0.25">
      <c r="A78">
        <v>9</v>
      </c>
      <c r="B78">
        <v>12.040100000000001</v>
      </c>
      <c r="C78">
        <f t="shared" si="2"/>
        <v>1.3377888888888889</v>
      </c>
    </row>
    <row r="79" spans="1:5" x14ac:dyDescent="0.25">
      <c r="A79">
        <v>8.5</v>
      </c>
      <c r="B79">
        <v>12.0212</v>
      </c>
      <c r="C79">
        <f t="shared" si="2"/>
        <v>1.4142588235294118</v>
      </c>
    </row>
    <row r="80" spans="1:5" x14ac:dyDescent="0.25">
      <c r="A80">
        <v>8.25</v>
      </c>
      <c r="B80">
        <v>12.00112</v>
      </c>
      <c r="C80">
        <f t="shared" si="2"/>
        <v>1.454681212121212</v>
      </c>
    </row>
    <row r="81" spans="1:3" x14ac:dyDescent="0.25">
      <c r="A81">
        <v>8</v>
      </c>
      <c r="B81">
        <v>11.9351</v>
      </c>
      <c r="C81">
        <f t="shared" si="2"/>
        <v>1.4918875</v>
      </c>
    </row>
    <row r="82" spans="1:3" x14ac:dyDescent="0.25">
      <c r="A82">
        <v>7.75</v>
      </c>
      <c r="B82">
        <v>11.7841</v>
      </c>
      <c r="C82">
        <f t="shared" si="2"/>
        <v>1.5205290322580647</v>
      </c>
    </row>
    <row r="83" spans="1:3" x14ac:dyDescent="0.25">
      <c r="A83">
        <v>7.5</v>
      </c>
      <c r="B83">
        <v>11.539121</v>
      </c>
      <c r="C83">
        <f t="shared" si="2"/>
        <v>1.5385494666666666</v>
      </c>
    </row>
    <row r="84" spans="1:3" x14ac:dyDescent="0.25">
      <c r="A84">
        <v>7</v>
      </c>
      <c r="B84">
        <v>10.865790000000001</v>
      </c>
      <c r="C84">
        <f t="shared" si="2"/>
        <v>1.5522557142857143</v>
      </c>
    </row>
    <row r="85" spans="1:3" x14ac:dyDescent="0.25">
      <c r="A85">
        <v>6.5</v>
      </c>
      <c r="B85">
        <v>10.138999999999999</v>
      </c>
      <c r="C85">
        <f t="shared" si="2"/>
        <v>1.5598461538461537</v>
      </c>
    </row>
    <row r="86" spans="1:3" x14ac:dyDescent="0.25">
      <c r="A86">
        <v>6</v>
      </c>
      <c r="B86">
        <v>9.3999000000000006</v>
      </c>
      <c r="C86">
        <f t="shared" si="2"/>
        <v>1.5666500000000001</v>
      </c>
    </row>
    <row r="87" spans="1:3" x14ac:dyDescent="0.25">
      <c r="A87">
        <v>5</v>
      </c>
      <c r="B87">
        <v>7.8993500000000001</v>
      </c>
      <c r="C87">
        <f t="shared" si="2"/>
        <v>1.5798700000000001</v>
      </c>
    </row>
    <row r="88" spans="1:3" x14ac:dyDescent="0.25">
      <c r="A88">
        <v>4</v>
      </c>
      <c r="B88">
        <v>6.3849</v>
      </c>
      <c r="C88">
        <f t="shared" si="2"/>
        <v>1.596225</v>
      </c>
    </row>
    <row r="89" spans="1:3" x14ac:dyDescent="0.25">
      <c r="A89">
        <v>3</v>
      </c>
      <c r="B89">
        <v>4.8371000000000004</v>
      </c>
      <c r="C89">
        <f t="shared" si="2"/>
        <v>1.6123666666666667</v>
      </c>
    </row>
    <row r="90" spans="1:3" x14ac:dyDescent="0.25">
      <c r="A90">
        <v>2</v>
      </c>
      <c r="B90">
        <v>3.2589999999999999</v>
      </c>
      <c r="C90">
        <f t="shared" si="2"/>
        <v>1.6294999999999999</v>
      </c>
    </row>
    <row r="91" spans="1:3" x14ac:dyDescent="0.25">
      <c r="A91">
        <v>1</v>
      </c>
      <c r="B91">
        <v>1.6454299999999999</v>
      </c>
      <c r="C91">
        <f t="shared" si="2"/>
        <v>1.6454299999999999</v>
      </c>
    </row>
    <row r="92" spans="1:3" x14ac:dyDescent="0.25">
      <c r="A92">
        <v>0</v>
      </c>
      <c r="B92">
        <v>0</v>
      </c>
      <c r="C92">
        <v>1.6605000000000001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2025-05-19T16:41:50Z</dcterms:modified>
</cp:coreProperties>
</file>