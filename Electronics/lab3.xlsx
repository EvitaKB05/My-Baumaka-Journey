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4026E921-8356-42A4-987C-0E8E30C9B8A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L15" i="1" l="1"/>
  <c r="AL7" i="1"/>
  <c r="AI15" i="1"/>
  <c r="AI7" i="1"/>
  <c r="R30" i="1"/>
  <c r="R29" i="1"/>
  <c r="R22" i="1"/>
  <c r="R21" i="1"/>
  <c r="R14" i="1"/>
  <c r="R13" i="1"/>
  <c r="C81" i="1"/>
  <c r="C83" i="1"/>
  <c r="C79" i="1"/>
  <c r="C77" i="1"/>
  <c r="C75" i="1"/>
  <c r="C73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4" i="1"/>
  <c r="C76" i="1"/>
  <c r="C78" i="1"/>
  <c r="C80" i="1"/>
  <c r="C82" i="1"/>
  <c r="C56" i="1"/>
  <c r="C38" i="1"/>
  <c r="C30" i="1"/>
  <c r="C31" i="1"/>
  <c r="C32" i="1"/>
  <c r="C33" i="1"/>
  <c r="C34" i="1"/>
  <c r="C35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29" i="1"/>
  <c r="C8" i="1"/>
  <c r="C15" i="1"/>
  <c r="C11" i="1"/>
  <c r="C12" i="1"/>
  <c r="C14" i="1"/>
  <c r="C17" i="1"/>
  <c r="C16" i="1"/>
  <c r="C9" i="1"/>
  <c r="C10" i="1"/>
  <c r="C13" i="1"/>
  <c r="C18" i="1"/>
  <c r="C19" i="1"/>
  <c r="C20" i="1"/>
  <c r="C21" i="1"/>
  <c r="C22" i="1"/>
  <c r="C23" i="1"/>
  <c r="C7" i="1"/>
  <c r="C6" i="1"/>
  <c r="C5" i="1"/>
  <c r="C4" i="1"/>
  <c r="C3" i="1"/>
  <c r="Q24" i="1" l="1"/>
  <c r="Q16" i="1"/>
  <c r="Q32" i="1"/>
</calcChain>
</file>

<file path=xl/sharedStrings.xml><?xml version="1.0" encoding="utf-8"?>
<sst xmlns="http://schemas.openxmlformats.org/spreadsheetml/2006/main" count="66" uniqueCount="25">
  <si>
    <t>Rн, Ом</t>
  </si>
  <si>
    <t>Uвых, В</t>
  </si>
  <si>
    <r>
      <t>R</t>
    </r>
    <r>
      <rPr>
        <sz val="10"/>
        <color theme="1"/>
        <rFont val="Calibri"/>
        <family val="2"/>
        <charset val="204"/>
        <scheme val="minor"/>
      </rPr>
      <t>н</t>
    </r>
    <r>
      <rPr>
        <sz val="11"/>
        <color theme="1"/>
        <rFont val="Calibri"/>
        <family val="2"/>
        <scheme val="minor"/>
      </rPr>
      <t>, Ом</t>
    </r>
  </si>
  <si>
    <r>
      <t>U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В</t>
    </r>
  </si>
  <si>
    <r>
      <t>I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А</t>
    </r>
  </si>
  <si>
    <t>Uвх = 40 В</t>
  </si>
  <si>
    <t>Uвх = 28 В</t>
  </si>
  <si>
    <r>
      <t>U</t>
    </r>
    <r>
      <rPr>
        <sz val="10"/>
        <color rgb="FF000000"/>
        <rFont val="Calibri"/>
        <family val="2"/>
        <charset val="204"/>
        <scheme val="minor"/>
      </rPr>
      <t>вых</t>
    </r>
    <r>
      <rPr>
        <sz val="11"/>
        <color rgb="FF000000"/>
        <rFont val="Calibri"/>
        <family val="2"/>
        <scheme val="minor"/>
      </rPr>
      <t>, В</t>
    </r>
  </si>
  <si>
    <r>
      <t>I</t>
    </r>
    <r>
      <rPr>
        <sz val="10"/>
        <color rgb="FF000000"/>
        <rFont val="Calibri"/>
        <family val="2"/>
        <charset val="204"/>
        <scheme val="minor"/>
      </rPr>
      <t>вых</t>
    </r>
    <r>
      <rPr>
        <sz val="11"/>
        <color rgb="FF000000"/>
        <rFont val="Calibri"/>
        <family val="2"/>
        <scheme val="minor"/>
      </rPr>
      <t>, А</t>
    </r>
  </si>
  <si>
    <t>Uвх, В</t>
  </si>
  <si>
    <t>Rвых, мОм</t>
  </si>
  <si>
    <r>
      <t>R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мОм</t>
    </r>
  </si>
  <si>
    <r>
      <t>R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Ом</t>
    </r>
  </si>
  <si>
    <r>
      <t>U</t>
    </r>
    <r>
      <rPr>
        <sz val="10"/>
        <color theme="1"/>
        <rFont val="Calibri"/>
        <family val="2"/>
        <charset val="204"/>
        <scheme val="minor"/>
      </rPr>
      <t>вх</t>
    </r>
    <r>
      <rPr>
        <sz val="11"/>
        <color theme="1"/>
        <rFont val="Calibri"/>
        <family val="2"/>
        <scheme val="minor"/>
      </rPr>
      <t xml:space="preserve"> = 40 В</t>
    </r>
  </si>
  <si>
    <r>
      <t>U</t>
    </r>
    <r>
      <rPr>
        <sz val="10"/>
        <color theme="1"/>
        <rFont val="Calibri"/>
        <family val="2"/>
        <charset val="204"/>
        <scheme val="minor"/>
      </rPr>
      <t>вх</t>
    </r>
    <r>
      <rPr>
        <sz val="11"/>
        <color theme="1"/>
        <rFont val="Calibri"/>
        <family val="2"/>
        <scheme val="minor"/>
      </rPr>
      <t>, В</t>
    </r>
  </si>
  <si>
    <t>Rн = 12 Ом</t>
  </si>
  <si>
    <t>Rн = 6 Ом</t>
  </si>
  <si>
    <t>Rн = 24 Ом</t>
  </si>
  <si>
    <t>Uвх = 60 В</t>
  </si>
  <si>
    <t>ВАХ</t>
  </si>
  <si>
    <t>Rн =  100 МОм</t>
  </si>
  <si>
    <t>Кст =</t>
  </si>
  <si>
    <t>Кст</t>
  </si>
  <si>
    <t xml:space="preserve"> ∞</t>
  </si>
  <si>
    <t>Rн =  ∞ 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</si>
</sst>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7578233755262E-2"/>
          <c:y val="0.10480347743378493"/>
          <c:w val="0.91844743544987906"/>
          <c:h val="0.80514988822796241"/>
        </c:manualLayout>
      </c:layout>
      <c:scatterChart>
        <c:scatterStyle val="lineMarker"/>
        <c:varyColors val="0"/>
        <c:ser>
          <c:idx val="0"/>
          <c:order val="0"/>
          <c:tx>
            <c:v>Uвх = 40 В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Лист1!$C$2:$C$24</c:f>
              <c:numCache>
                <c:formatCode>General</c:formatCode>
                <c:ptCount val="23"/>
                <c:pt idx="0">
                  <c:v>1.19795E-4</c:v>
                </c:pt>
                <c:pt idx="1">
                  <c:v>1.1979E-3</c:v>
                </c:pt>
                <c:pt idx="2">
                  <c:v>1.19773E-2</c:v>
                </c:pt>
                <c:pt idx="3">
                  <c:v>0.119703</c:v>
                </c:pt>
                <c:pt idx="4">
                  <c:v>0.23927800000000002</c:v>
                </c:pt>
                <c:pt idx="5">
                  <c:v>0.59711999999999998</c:v>
                </c:pt>
                <c:pt idx="6">
                  <c:v>0.7951866666666666</c:v>
                </c:pt>
                <c:pt idx="7">
                  <c:v>0.99255000000000004</c:v>
                </c:pt>
                <c:pt idx="8">
                  <c:v>1.1890100000000001</c:v>
                </c:pt>
                <c:pt idx="9">
                  <c:v>1.6879571428571427</c:v>
                </c:pt>
                <c:pt idx="10">
                  <c:v>1.9586666666666668</c:v>
                </c:pt>
                <c:pt idx="11">
                  <c:v>2.3207399999999998</c:v>
                </c:pt>
                <c:pt idx="12">
                  <c:v>2.535222222222222</c:v>
                </c:pt>
                <c:pt idx="13">
                  <c:v>2.6351764705882355</c:v>
                </c:pt>
                <c:pt idx="14">
                  <c:v>2.70825</c:v>
                </c:pt>
                <c:pt idx="15">
                  <c:v>2.806657142857143</c:v>
                </c:pt>
                <c:pt idx="16">
                  <c:v>2.9049999999999998</c:v>
                </c:pt>
                <c:pt idx="17">
                  <c:v>3.010624</c:v>
                </c:pt>
                <c:pt idx="18">
                  <c:v>3.1245099999999999</c:v>
                </c:pt>
                <c:pt idx="19">
                  <c:v>3.2477533333333333</c:v>
                </c:pt>
                <c:pt idx="20">
                  <c:v>3.38165</c:v>
                </c:pt>
                <c:pt idx="21">
                  <c:v>3.5277799999999999</c:v>
                </c:pt>
                <c:pt idx="22">
                  <c:v>3.6880700000000002</c:v>
                </c:pt>
              </c:numCache>
            </c:numRef>
          </c:xVal>
          <c:yVal>
            <c:numRef>
              <c:f>Лист1!$B$2:$B$24</c:f>
              <c:numCache>
                <c:formatCode>General</c:formatCode>
                <c:ptCount val="23"/>
                <c:pt idx="0">
                  <c:v>11.9795</c:v>
                </c:pt>
                <c:pt idx="1">
                  <c:v>11.978999999999999</c:v>
                </c:pt>
                <c:pt idx="2">
                  <c:v>11.9773</c:v>
                </c:pt>
                <c:pt idx="3">
                  <c:v>11.9703</c:v>
                </c:pt>
                <c:pt idx="4">
                  <c:v>11.963900000000001</c:v>
                </c:pt>
                <c:pt idx="5">
                  <c:v>11.942399999999999</c:v>
                </c:pt>
                <c:pt idx="6">
                  <c:v>11.9278</c:v>
                </c:pt>
                <c:pt idx="7">
                  <c:v>11.910600000000001</c:v>
                </c:pt>
                <c:pt idx="8">
                  <c:v>11.8901</c:v>
                </c:pt>
                <c:pt idx="9">
                  <c:v>11.8157</c:v>
                </c:pt>
                <c:pt idx="10">
                  <c:v>11.752000000000001</c:v>
                </c:pt>
                <c:pt idx="11">
                  <c:v>11.6037</c:v>
                </c:pt>
                <c:pt idx="12">
                  <c:v>11.4085</c:v>
                </c:pt>
                <c:pt idx="13">
                  <c:v>11.1995</c:v>
                </c:pt>
                <c:pt idx="14">
                  <c:v>10.833</c:v>
                </c:pt>
                <c:pt idx="15">
                  <c:v>9.8232999999999997</c:v>
                </c:pt>
                <c:pt idx="16">
                  <c:v>8.7149999999999999</c:v>
                </c:pt>
                <c:pt idx="17">
                  <c:v>7.5265599999999999</c:v>
                </c:pt>
                <c:pt idx="18">
                  <c:v>6.2490199999999998</c:v>
                </c:pt>
                <c:pt idx="19">
                  <c:v>4.8716299999999997</c:v>
                </c:pt>
                <c:pt idx="20">
                  <c:v>3.38165</c:v>
                </c:pt>
                <c:pt idx="21">
                  <c:v>1.76389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8-40C8-8B41-A4550BEF1568}"/>
            </c:ext>
          </c:extLst>
        </c:ser>
        <c:ser>
          <c:idx val="1"/>
          <c:order val="1"/>
          <c:tx>
            <c:v>Uвх = 28 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Лист1!$C$29:$C$51</c:f>
              <c:numCache>
                <c:formatCode>General</c:formatCode>
                <c:ptCount val="23"/>
                <c:pt idx="0">
                  <c:v>1.18362E-4</c:v>
                </c:pt>
                <c:pt idx="1">
                  <c:v>1.1835400000000001E-3</c:v>
                </c:pt>
                <c:pt idx="2">
                  <c:v>1.18323E-2</c:v>
                </c:pt>
                <c:pt idx="3">
                  <c:v>0.11818899999999999</c:v>
                </c:pt>
                <c:pt idx="4">
                  <c:v>0.23611399999999999</c:v>
                </c:pt>
                <c:pt idx="5">
                  <c:v>0.58784999999999998</c:v>
                </c:pt>
                <c:pt idx="6">
                  <c:v>0.7813133333333333</c:v>
                </c:pt>
                <c:pt idx="7">
                  <c:v>0.97251666666666658</c:v>
                </c:pt>
                <c:pt idx="8">
                  <c:v>1.1601300000000001</c:v>
                </c:pt>
                <c:pt idx="9">
                  <c:v>1.4273</c:v>
                </c:pt>
                <c:pt idx="10">
                  <c:v>1.5875285714285714</c:v>
                </c:pt>
                <c:pt idx="11">
                  <c:v>1.7069000000000001</c:v>
                </c:pt>
                <c:pt idx="12">
                  <c:v>1.8131540000000002</c:v>
                </c:pt>
                <c:pt idx="13">
                  <c:v>1.8709222222222222</c:v>
                </c:pt>
                <c:pt idx="14">
                  <c:v>1.9323600000000001</c:v>
                </c:pt>
                <c:pt idx="15">
                  <c:v>1.9978400000000001</c:v>
                </c:pt>
                <c:pt idx="16">
                  <c:v>2.0677866666666667</c:v>
                </c:pt>
                <c:pt idx="17">
                  <c:v>2.1426880000000001</c:v>
                </c:pt>
                <c:pt idx="18">
                  <c:v>2.2231100000000001</c:v>
                </c:pt>
                <c:pt idx="19">
                  <c:v>2.3097266666666667</c:v>
                </c:pt>
                <c:pt idx="20">
                  <c:v>2.4033099999999998</c:v>
                </c:pt>
                <c:pt idx="21">
                  <c:v>2.5047999999999999</c:v>
                </c:pt>
                <c:pt idx="22">
                  <c:v>2.6153</c:v>
                </c:pt>
              </c:numCache>
            </c:numRef>
          </c:xVal>
          <c:yVal>
            <c:numRef>
              <c:f>Лист1!$B$29:$B$51</c:f>
              <c:numCache>
                <c:formatCode>General</c:formatCode>
                <c:ptCount val="23"/>
                <c:pt idx="0">
                  <c:v>11.8362</c:v>
                </c:pt>
                <c:pt idx="1">
                  <c:v>11.8354</c:v>
                </c:pt>
                <c:pt idx="2">
                  <c:v>11.8323</c:v>
                </c:pt>
                <c:pt idx="3">
                  <c:v>11.818899999999999</c:v>
                </c:pt>
                <c:pt idx="4">
                  <c:v>11.8057</c:v>
                </c:pt>
                <c:pt idx="5">
                  <c:v>11.757</c:v>
                </c:pt>
                <c:pt idx="6">
                  <c:v>11.7197</c:v>
                </c:pt>
                <c:pt idx="7">
                  <c:v>11.670199999999999</c:v>
                </c:pt>
                <c:pt idx="8">
                  <c:v>11.6013</c:v>
                </c:pt>
                <c:pt idx="9">
                  <c:v>11.4184</c:v>
                </c:pt>
                <c:pt idx="10">
                  <c:v>11.1127</c:v>
                </c:pt>
                <c:pt idx="11">
                  <c:v>10.241400000000001</c:v>
                </c:pt>
                <c:pt idx="12">
                  <c:v>9.0657700000000006</c:v>
                </c:pt>
                <c:pt idx="13">
                  <c:v>8.4191500000000001</c:v>
                </c:pt>
                <c:pt idx="14">
                  <c:v>7.7294400000000003</c:v>
                </c:pt>
                <c:pt idx="15">
                  <c:v>6.9924400000000002</c:v>
                </c:pt>
                <c:pt idx="16">
                  <c:v>6.20336</c:v>
                </c:pt>
                <c:pt idx="17">
                  <c:v>5.3567200000000001</c:v>
                </c:pt>
                <c:pt idx="18">
                  <c:v>4.4462200000000003</c:v>
                </c:pt>
                <c:pt idx="19">
                  <c:v>3.4645899999999998</c:v>
                </c:pt>
                <c:pt idx="20">
                  <c:v>2.4033099999999998</c:v>
                </c:pt>
                <c:pt idx="21">
                  <c:v>1.2524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B08-40C8-8B41-A4550BEF1568}"/>
            </c:ext>
          </c:extLst>
        </c:ser>
        <c:ser>
          <c:idx val="2"/>
          <c:order val="2"/>
          <c:tx>
            <c:v>Uвх = 60 В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Лист1!$C$56:$C$84</c:f>
              <c:numCache>
                <c:formatCode>General</c:formatCode>
                <c:ptCount val="29"/>
                <c:pt idx="0">
                  <c:v>1.2125600000000001E-4</c:v>
                </c:pt>
                <c:pt idx="1">
                  <c:v>1.2125299999999999E-3</c:v>
                </c:pt>
                <c:pt idx="2">
                  <c:v>1.21242E-2</c:v>
                </c:pt>
                <c:pt idx="3">
                  <c:v>0.12120599999999999</c:v>
                </c:pt>
                <c:pt idx="4">
                  <c:v>0.24234999999999998</c:v>
                </c:pt>
                <c:pt idx="5">
                  <c:v>0.60538499999999995</c:v>
                </c:pt>
                <c:pt idx="6">
                  <c:v>0.80677333333333334</c:v>
                </c:pt>
                <c:pt idx="7">
                  <c:v>1.0078916666666666</c:v>
                </c:pt>
                <c:pt idx="8">
                  <c:v>1.2086999999999999</c:v>
                </c:pt>
                <c:pt idx="9">
                  <c:v>1.7232285714285713</c:v>
                </c:pt>
                <c:pt idx="10">
                  <c:v>2.0075833333333333</c:v>
                </c:pt>
                <c:pt idx="11">
                  <c:v>2.4031799999999999</c:v>
                </c:pt>
                <c:pt idx="12">
                  <c:v>2.6647777777777777</c:v>
                </c:pt>
                <c:pt idx="13">
                  <c:v>2.8176235294117649</c:v>
                </c:pt>
                <c:pt idx="14">
                  <c:v>2.9884750000000002</c:v>
                </c:pt>
                <c:pt idx="15">
                  <c:v>3.3969142857142858</c:v>
                </c:pt>
                <c:pt idx="16">
                  <c:v>3.9164999999999996</c:v>
                </c:pt>
                <c:pt idx="17">
                  <c:v>4.2136727272727272</c:v>
                </c:pt>
                <c:pt idx="18">
                  <c:v>4.4645600000000005</c:v>
                </c:pt>
                <c:pt idx="19">
                  <c:v>4.5860444444444441</c:v>
                </c:pt>
                <c:pt idx="20">
                  <c:v>4.6783099999999997</c:v>
                </c:pt>
                <c:pt idx="21">
                  <c:v>4.7740971428571433</c:v>
                </c:pt>
                <c:pt idx="22">
                  <c:v>4.8742933333333331</c:v>
                </c:pt>
                <c:pt idx="23">
                  <c:v>4.9792480000000001</c:v>
                </c:pt>
                <c:pt idx="24">
                  <c:v>5.0893300000000004</c:v>
                </c:pt>
                <c:pt idx="25">
                  <c:v>5.2049733333333332</c:v>
                </c:pt>
                <c:pt idx="26">
                  <c:v>5.3266600000000004</c:v>
                </c:pt>
                <c:pt idx="27">
                  <c:v>5.4549200000000004</c:v>
                </c:pt>
                <c:pt idx="28">
                  <c:v>5.5903400000000003</c:v>
                </c:pt>
              </c:numCache>
            </c:numRef>
          </c:xVal>
          <c:yVal>
            <c:numRef>
              <c:f>Лист1!$B$56:$B$84</c:f>
              <c:numCache>
                <c:formatCode>General</c:formatCode>
                <c:ptCount val="29"/>
                <c:pt idx="0">
                  <c:v>12.1256</c:v>
                </c:pt>
                <c:pt idx="1">
                  <c:v>12.125299999999999</c:v>
                </c:pt>
                <c:pt idx="2">
                  <c:v>12.1242</c:v>
                </c:pt>
                <c:pt idx="3">
                  <c:v>12.1206</c:v>
                </c:pt>
                <c:pt idx="4">
                  <c:v>12.1175</c:v>
                </c:pt>
                <c:pt idx="5">
                  <c:v>12.107699999999999</c:v>
                </c:pt>
                <c:pt idx="6">
                  <c:v>12.101599999999999</c:v>
                </c:pt>
                <c:pt idx="7">
                  <c:v>12.0947</c:v>
                </c:pt>
                <c:pt idx="8">
                  <c:v>12.087</c:v>
                </c:pt>
                <c:pt idx="9">
                  <c:v>12.0626</c:v>
                </c:pt>
                <c:pt idx="10">
                  <c:v>12.045500000000001</c:v>
                </c:pt>
                <c:pt idx="11">
                  <c:v>12.0159</c:v>
                </c:pt>
                <c:pt idx="12">
                  <c:v>11.9915</c:v>
                </c:pt>
                <c:pt idx="13">
                  <c:v>11.9749</c:v>
                </c:pt>
                <c:pt idx="14">
                  <c:v>11.953900000000001</c:v>
                </c:pt>
                <c:pt idx="15">
                  <c:v>11.889200000000001</c:v>
                </c:pt>
                <c:pt idx="16">
                  <c:v>11.749499999999999</c:v>
                </c:pt>
                <c:pt idx="17">
                  <c:v>11.5876</c:v>
                </c:pt>
                <c:pt idx="18">
                  <c:v>11.1614</c:v>
                </c:pt>
                <c:pt idx="19">
                  <c:v>10.3186</c:v>
                </c:pt>
                <c:pt idx="20">
                  <c:v>9.3566199999999995</c:v>
                </c:pt>
                <c:pt idx="21">
                  <c:v>8.3546700000000005</c:v>
                </c:pt>
                <c:pt idx="22">
                  <c:v>7.3114400000000002</c:v>
                </c:pt>
                <c:pt idx="23">
                  <c:v>6.2240599999999997</c:v>
                </c:pt>
                <c:pt idx="24">
                  <c:v>5.0893300000000004</c:v>
                </c:pt>
                <c:pt idx="25">
                  <c:v>3.9037299999999999</c:v>
                </c:pt>
                <c:pt idx="26">
                  <c:v>2.6633300000000002</c:v>
                </c:pt>
                <c:pt idx="27">
                  <c:v>1.3637300000000001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B08-40C8-8B41-A4550BEF1568}"/>
            </c:ext>
          </c:extLst>
        </c:ser>
        <c:ser>
          <c:idx val="3"/>
          <c:order val="3"/>
          <c:tx>
            <c:v>ВАХ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Лист1!$G$30:$H$30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Лист1!$G$29:$H$29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B08-40C8-8B41-A4550BEF1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96047"/>
        <c:axId val="563794271"/>
      </c:scatterChart>
      <c:valAx>
        <c:axId val="5617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794271"/>
        <c:crosses val="autoZero"/>
        <c:crossBetween val="midCat"/>
      </c:valAx>
      <c:valAx>
        <c:axId val="563794271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796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53530377668313"/>
          <c:y val="0.1200869358446231"/>
          <c:w val="0.14538429119253576"/>
          <c:h val="0.25825140994190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12832685531797E-2"/>
          <c:y val="0.1679160155487586"/>
          <c:w val="0.89845990562655076"/>
          <c:h val="0.7393373015323359"/>
        </c:manualLayout>
      </c:layout>
      <c:scatterChart>
        <c:scatterStyle val="lineMarker"/>
        <c:varyColors val="0"/>
        <c:ser>
          <c:idx val="0"/>
          <c:order val="0"/>
          <c:tx>
            <c:v>Rн = 12 Ом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Лист1!$V$2:$V$19</c:f>
              <c:numCache>
                <c:formatCode>General</c:formatCode>
                <c:ptCount val="18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17.5</c:v>
                </c:pt>
                <c:pt idx="11">
                  <c:v>15</c:v>
                </c:pt>
                <c:pt idx="12">
                  <c:v>12.5</c:v>
                </c:pt>
                <c:pt idx="13">
                  <c:v>10</c:v>
                </c:pt>
                <c:pt idx="14">
                  <c:v>7.5</c:v>
                </c:pt>
                <c:pt idx="15">
                  <c:v>5</c:v>
                </c:pt>
                <c:pt idx="16">
                  <c:v>2.5</c:v>
                </c:pt>
                <c:pt idx="17">
                  <c:v>0</c:v>
                </c:pt>
              </c:numCache>
            </c:numRef>
          </c:xVal>
          <c:yVal>
            <c:numRef>
              <c:f>Лист1!$W$2:$W$19</c:f>
              <c:numCache>
                <c:formatCode>General</c:formatCode>
                <c:ptCount val="18"/>
                <c:pt idx="0">
                  <c:v>12.294</c:v>
                </c:pt>
                <c:pt idx="1">
                  <c:v>12.2537</c:v>
                </c:pt>
                <c:pt idx="2">
                  <c:v>12.208399999999999</c:v>
                </c:pt>
                <c:pt idx="3">
                  <c:v>12.156499999999999</c:v>
                </c:pt>
                <c:pt idx="4">
                  <c:v>12.0947</c:v>
                </c:pt>
                <c:pt idx="5">
                  <c:v>12.017300000000001</c:v>
                </c:pt>
                <c:pt idx="6">
                  <c:v>11.910600000000001</c:v>
                </c:pt>
                <c:pt idx="7">
                  <c:v>11.7294</c:v>
                </c:pt>
                <c:pt idx="8">
                  <c:v>11.480399999999999</c:v>
                </c:pt>
                <c:pt idx="9">
                  <c:v>10.745900000000001</c:v>
                </c:pt>
                <c:pt idx="10">
                  <c:v>9.4171600000000009</c:v>
                </c:pt>
                <c:pt idx="11">
                  <c:v>8.0150500000000005</c:v>
                </c:pt>
                <c:pt idx="12">
                  <c:v>6.5896600000000003</c:v>
                </c:pt>
                <c:pt idx="13">
                  <c:v>5.1387999999999998</c:v>
                </c:pt>
                <c:pt idx="14">
                  <c:v>3.6617600000000001</c:v>
                </c:pt>
                <c:pt idx="15">
                  <c:v>2.21088</c:v>
                </c:pt>
                <c:pt idx="16">
                  <c:v>0.97155199999999997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A-4027-A753-DA62CBD0FD6D}"/>
            </c:ext>
          </c:extLst>
        </c:ser>
        <c:ser>
          <c:idx val="1"/>
          <c:order val="1"/>
          <c:tx>
            <c:v>Rн = 6 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Лист1!$V$23:$V$43</c:f>
              <c:numCache>
                <c:formatCode>General</c:formatCode>
                <c:ptCount val="2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35</c:v>
                </c:pt>
                <c:pt idx="8">
                  <c:v>30</c:v>
                </c:pt>
                <c:pt idx="9">
                  <c:v>27.5</c:v>
                </c:pt>
                <c:pt idx="10">
                  <c:v>25</c:v>
                </c:pt>
                <c:pt idx="11">
                  <c:v>22.5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</c:numCache>
            </c:numRef>
          </c:xVal>
          <c:yVal>
            <c:numRef>
              <c:f>Лист1!$W$23:$W$43</c:f>
              <c:numCache>
                <c:formatCode>General</c:formatCode>
                <c:ptCount val="21"/>
                <c:pt idx="0">
                  <c:v>12.279</c:v>
                </c:pt>
                <c:pt idx="1">
                  <c:v>12.2346</c:v>
                </c:pt>
                <c:pt idx="2">
                  <c:v>12.1836</c:v>
                </c:pt>
                <c:pt idx="3">
                  <c:v>12.1226</c:v>
                </c:pt>
                <c:pt idx="4">
                  <c:v>12.045500000000001</c:v>
                </c:pt>
                <c:pt idx="5">
                  <c:v>11.9381</c:v>
                </c:pt>
                <c:pt idx="6">
                  <c:v>11.752000000000001</c:v>
                </c:pt>
                <c:pt idx="7">
                  <c:v>11.457100000000001</c:v>
                </c:pt>
                <c:pt idx="8">
                  <c:v>10.789</c:v>
                </c:pt>
                <c:pt idx="9">
                  <c:v>10.067600000000001</c:v>
                </c:pt>
                <c:pt idx="10">
                  <c:v>9.18797</c:v>
                </c:pt>
                <c:pt idx="11">
                  <c:v>8.2987199999999994</c:v>
                </c:pt>
                <c:pt idx="12">
                  <c:v>7.3985300000000001</c:v>
                </c:pt>
                <c:pt idx="13">
                  <c:v>6.4842700000000004</c:v>
                </c:pt>
                <c:pt idx="14">
                  <c:v>5.55213</c:v>
                </c:pt>
                <c:pt idx="15">
                  <c:v>4.5975000000000001</c:v>
                </c:pt>
                <c:pt idx="16">
                  <c:v>3.61497</c:v>
                </c:pt>
                <c:pt idx="17">
                  <c:v>2.5988799999999999</c:v>
                </c:pt>
                <c:pt idx="18">
                  <c:v>1.5463800000000001</c:v>
                </c:pt>
                <c:pt idx="19">
                  <c:v>0.779555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A-4027-A753-DA62CBD0FD6D}"/>
            </c:ext>
          </c:extLst>
        </c:ser>
        <c:ser>
          <c:idx val="2"/>
          <c:order val="2"/>
          <c:tx>
            <c:v>Rн = 24 В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Лист1!$V$46:$V$63</c:f>
              <c:numCache>
                <c:formatCode>General</c:formatCode>
                <c:ptCount val="18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  <c:pt idx="12">
                  <c:v>12.5</c:v>
                </c:pt>
                <c:pt idx="13">
                  <c:v>10</c:v>
                </c:pt>
                <c:pt idx="14">
                  <c:v>7.5</c:v>
                </c:pt>
                <c:pt idx="15">
                  <c:v>5</c:v>
                </c:pt>
                <c:pt idx="16">
                  <c:v>2.75</c:v>
                </c:pt>
                <c:pt idx="17">
                  <c:v>0</c:v>
                </c:pt>
              </c:numCache>
            </c:numRef>
          </c:xVal>
          <c:yVal>
            <c:numRef>
              <c:f>Лист1!$W$46:$W$63</c:f>
              <c:numCache>
                <c:formatCode>General</c:formatCode>
                <c:ptCount val="18"/>
                <c:pt idx="0">
                  <c:v>12.299799999999999</c:v>
                </c:pt>
                <c:pt idx="1">
                  <c:v>12.2607</c:v>
                </c:pt>
                <c:pt idx="2">
                  <c:v>12.2173</c:v>
                </c:pt>
                <c:pt idx="3">
                  <c:v>12.168100000000001</c:v>
                </c:pt>
                <c:pt idx="4">
                  <c:v>12.1106</c:v>
                </c:pt>
                <c:pt idx="5">
                  <c:v>12.0405</c:v>
                </c:pt>
                <c:pt idx="6">
                  <c:v>11.9489</c:v>
                </c:pt>
                <c:pt idx="7">
                  <c:v>11.811299999999999</c:v>
                </c:pt>
                <c:pt idx="8">
                  <c:v>11.670500000000001</c:v>
                </c:pt>
                <c:pt idx="9">
                  <c:v>11.495100000000001</c:v>
                </c:pt>
                <c:pt idx="10">
                  <c:v>11.011200000000001</c:v>
                </c:pt>
                <c:pt idx="11">
                  <c:v>10.167</c:v>
                </c:pt>
                <c:pt idx="12">
                  <c:v>8.3189399999999996</c:v>
                </c:pt>
                <c:pt idx="13">
                  <c:v>6.4533399999999999</c:v>
                </c:pt>
                <c:pt idx="14">
                  <c:v>4.5789600000000004</c:v>
                </c:pt>
                <c:pt idx="15">
                  <c:v>2.70574</c:v>
                </c:pt>
                <c:pt idx="16">
                  <c:v>1.1508799999999999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7A-4027-A753-DA62CBD0FD6D}"/>
            </c:ext>
          </c:extLst>
        </c:ser>
        <c:ser>
          <c:idx val="3"/>
          <c:order val="3"/>
          <c:tx>
            <c:v>Rн = ∞ Ом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Лист1!$AB$23:$AB$43</c:f>
              <c:numCache>
                <c:formatCode>General</c:formatCode>
                <c:ptCount val="2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17.5</c:v>
                </c:pt>
                <c:pt idx="11">
                  <c:v>15</c:v>
                </c:pt>
                <c:pt idx="12">
                  <c:v>12.5</c:v>
                </c:pt>
                <c:pt idx="13">
                  <c:v>11</c:v>
                </c:pt>
                <c:pt idx="14">
                  <c:v>10</c:v>
                </c:pt>
                <c:pt idx="15">
                  <c:v>8.5</c:v>
                </c:pt>
                <c:pt idx="16">
                  <c:v>7.5</c:v>
                </c:pt>
                <c:pt idx="17">
                  <c:v>6</c:v>
                </c:pt>
                <c:pt idx="18">
                  <c:v>5</c:v>
                </c:pt>
                <c:pt idx="19">
                  <c:v>2.75</c:v>
                </c:pt>
                <c:pt idx="20">
                  <c:v>0</c:v>
                </c:pt>
              </c:numCache>
            </c:numRef>
          </c:xVal>
          <c:yVal>
            <c:numRef>
              <c:f>Лист1!$AC$23:$AC$43</c:f>
              <c:numCache>
                <c:formatCode>General</c:formatCode>
                <c:ptCount val="21"/>
                <c:pt idx="0">
                  <c:v>12.3066</c:v>
                </c:pt>
                <c:pt idx="1">
                  <c:v>12.268700000000001</c:v>
                </c:pt>
                <c:pt idx="2">
                  <c:v>12.226800000000001</c:v>
                </c:pt>
                <c:pt idx="3">
                  <c:v>12.1798</c:v>
                </c:pt>
                <c:pt idx="4">
                  <c:v>12.1256</c:v>
                </c:pt>
                <c:pt idx="5">
                  <c:v>12.061</c:v>
                </c:pt>
                <c:pt idx="6">
                  <c:v>11.9796</c:v>
                </c:pt>
                <c:pt idx="7">
                  <c:v>11.866</c:v>
                </c:pt>
                <c:pt idx="8">
                  <c:v>11.7646</c:v>
                </c:pt>
                <c:pt idx="9">
                  <c:v>11.6645</c:v>
                </c:pt>
                <c:pt idx="10">
                  <c:v>11.5725</c:v>
                </c:pt>
                <c:pt idx="11">
                  <c:v>11.4237</c:v>
                </c:pt>
                <c:pt idx="12">
                  <c:v>11.010300000000001</c:v>
                </c:pt>
                <c:pt idx="13">
                  <c:v>9.9215199999999992</c:v>
                </c:pt>
                <c:pt idx="14">
                  <c:v>8.9308099999999992</c:v>
                </c:pt>
                <c:pt idx="15">
                  <c:v>7.4424099999999997</c:v>
                </c:pt>
                <c:pt idx="16">
                  <c:v>6.4512799999999997</c:v>
                </c:pt>
                <c:pt idx="17">
                  <c:v>4.9671000000000003</c:v>
                </c:pt>
                <c:pt idx="18">
                  <c:v>3.9801700000000002</c:v>
                </c:pt>
                <c:pt idx="19">
                  <c:v>1.7758700000000001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7A-4027-A753-DA62CBD0FD6D}"/>
            </c:ext>
          </c:extLst>
        </c:ser>
        <c:ser>
          <c:idx val="4"/>
          <c:order val="4"/>
          <c:tx>
            <c:v>Uвх = 40 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Лист1!$AG$22:$AG$23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Лист1!$AH$22:$AH$23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7A-4027-A753-DA62CBD0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223535"/>
        <c:axId val="505229167"/>
      </c:scatterChart>
      <c:valAx>
        <c:axId val="56522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229167"/>
        <c:crosses val="autoZero"/>
        <c:crossBetween val="midCat"/>
        <c:majorUnit val="20"/>
      </c:valAx>
      <c:valAx>
        <c:axId val="505229167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22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64255566472465"/>
          <c:y val="0.404547268956503"/>
          <c:w val="0.15693583606826741"/>
          <c:h val="0.337333642260186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247649</xdr:colOff>
      <xdr:row>3</xdr:row>
      <xdr:rowOff>185737</xdr:rowOff>
    </xdr:from>
    <xdr:to>
      <xdr:col>13</xdr:col>
      <xdr:colOff>561974</xdr:colOff>
      <xdr:row>21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3EF475-3B50-425F-8609-3CADA8392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476249</xdr:colOff>
      <xdr:row>1</xdr:row>
      <xdr:rowOff>90487</xdr:rowOff>
    </xdr:from>
    <xdr:to>
      <xdr:col>32</xdr:col>
      <xdr:colOff>219074</xdr:colOff>
      <xdr:row>18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CD3054-DBBE-4EB2-841B-B4A62A424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0.88998</cdr:x>
      <cdr:y>0.81077</cdr:y>
    </cdr:from>
    <cdr:to>
      <cdr:x>1</cdr:x>
      <cdr:y>0.90975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15A89C4-888D-482E-A2D2-B394D8DCECAA}"/>
            </a:ext>
          </a:extLst>
        </cdr:cNvPr>
        <cdr:cNvSpPr txBox="1"/>
      </cdr:nvSpPr>
      <cdr:spPr>
        <a:xfrm xmlns:a="http://schemas.openxmlformats.org/drawingml/2006/main">
          <a:off x="5162549" y="2652713"/>
          <a:ext cx="638176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I</a:t>
          </a:r>
          <a:r>
            <a:rPr lang="ru-RU" sz="1200"/>
            <a:t>вых</a:t>
          </a:r>
          <a:r>
            <a:rPr lang="ru-RU" sz="1400"/>
            <a:t>, А</a:t>
          </a:r>
        </a:p>
      </cdr:txBody>
    </cdr:sp>
  </cdr:relSizeAnchor>
  <cdr:relSizeAnchor xmlns:cdr="http://schemas.openxmlformats.org/drawingml/2006/chartDrawing">
    <cdr:from>
      <cdr:x>0.0301</cdr:x>
      <cdr:y>0</cdr:y>
    </cdr:from>
    <cdr:to>
      <cdr:x>0.14012</cdr:x>
      <cdr:y>0.09898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7936B6B4-D67F-444F-9E85-1BE932956BB0}"/>
            </a:ext>
          </a:extLst>
        </cdr:cNvPr>
        <cdr:cNvSpPr txBox="1"/>
      </cdr:nvSpPr>
      <cdr:spPr>
        <a:xfrm xmlns:a="http://schemas.openxmlformats.org/drawingml/2006/main">
          <a:off x="174625" y="0"/>
          <a:ext cx="638176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200"/>
            <a:t>вых</a:t>
          </a:r>
          <a:r>
            <a:rPr lang="ru-RU" sz="1400"/>
            <a:t>, В</a:t>
          </a:r>
        </a:p>
        <a:p xmlns:a="http://schemas.openxmlformats.org/drawingml/2006/main">
          <a:endParaRPr lang="ru-RU" sz="14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0.00527</cdr:x>
      <cdr:y>0.01349</cdr:y>
    </cdr:from>
    <cdr:to>
      <cdr:x>0.17399</cdr:x>
      <cdr:y>0.11844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593707-B1E7-4B7D-94E6-28CD6F61F289}"/>
            </a:ext>
          </a:extLst>
        </cdr:cNvPr>
        <cdr:cNvSpPr txBox="1"/>
      </cdr:nvSpPr>
      <cdr:spPr>
        <a:xfrm xmlns:a="http://schemas.openxmlformats.org/drawingml/2006/main">
          <a:off x="28576" y="42863"/>
          <a:ext cx="91440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U</a:t>
          </a:r>
          <a:r>
            <a:rPr lang="ru-RU" sz="1000"/>
            <a:t>вых</a:t>
          </a:r>
          <a:r>
            <a:rPr lang="ru-RU" sz="1400"/>
            <a:t>, В</a:t>
          </a:r>
        </a:p>
      </cdr:txBody>
    </cdr:sp>
  </cdr:relSizeAnchor>
  <cdr:relSizeAnchor xmlns:cdr="http://schemas.openxmlformats.org/drawingml/2006/chartDrawing">
    <cdr:from>
      <cdr:x>0.87698</cdr:x>
      <cdr:y>0.82259</cdr:y>
    </cdr:from>
    <cdr:to>
      <cdr:x>0.99473</cdr:x>
      <cdr:y>0.92754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13EE147-C14A-401D-88E3-8D8083C186C0}"/>
            </a:ext>
          </a:extLst>
        </cdr:cNvPr>
        <cdr:cNvSpPr txBox="1"/>
      </cdr:nvSpPr>
      <cdr:spPr>
        <a:xfrm xmlns:a="http://schemas.openxmlformats.org/drawingml/2006/main">
          <a:off x="4752975" y="2613025"/>
          <a:ext cx="638176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вх</a:t>
          </a:r>
          <a:r>
            <a:rPr lang="ru-RU" sz="1400"/>
            <a:t>, В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4"/>
  <sheetViews>
    <sheetView tabSelected="1" topLeftCell="Q1" workbookViewId="0">
      <selection activeCell="AE1" sqref="AE1"/>
    </sheetView>
  </sheetViews>
  <sheetFormatPr defaultRowHeight="15" x14ac:dyDescent="0.25"/>
  <cols>
    <col min="2" max="2" width="18.7109375" customWidth="1"/>
    <col min="3" max="3" width="19.140625" customWidth="1"/>
    <col min="12" max="12" width="12" customWidth="1"/>
    <col min="16" max="17" width="11.140625" customWidth="1"/>
    <col min="25" max="25" width="12" customWidth="1"/>
    <col min="31" max="31" width="14.5703125" customWidth="1"/>
    <col min="34" max="34" width="12" customWidth="1"/>
    <col min="37" max="37" width="13.7109375" customWidth="1"/>
  </cols>
  <sheetData>
    <row r="1" spans="1:38" x14ac:dyDescent="0.25">
      <c r="A1" t="s">
        <v>2</v>
      </c>
      <c r="B1" t="s">
        <v>3</v>
      </c>
      <c r="C1" t="s">
        <v>4</v>
      </c>
      <c r="E1" t="s">
        <v>5</v>
      </c>
      <c r="V1" t="s">
        <v>14</v>
      </c>
      <c r="W1" t="s">
        <v>3</v>
      </c>
      <c r="Y1" t="s">
        <v>15</v>
      </c>
    </row>
    <row r="2" spans="1:38" x14ac:dyDescent="0.25">
      <c r="A2">
        <v>100000</v>
      </c>
      <c r="B2">
        <v>11.9795</v>
      </c>
      <c r="C2">
        <v>1.19795E-4</v>
      </c>
      <c r="V2">
        <v>100</v>
      </c>
      <c r="W2">
        <v>12.294</v>
      </c>
      <c r="AH2" t="s">
        <v>15</v>
      </c>
      <c r="AK2" t="s">
        <v>17</v>
      </c>
    </row>
    <row r="3" spans="1:38" x14ac:dyDescent="0.25">
      <c r="A3">
        <v>10000</v>
      </c>
      <c r="B3">
        <v>11.978999999999999</v>
      </c>
      <c r="C3">
        <f>B3/A3</f>
        <v>1.1979E-3</v>
      </c>
      <c r="V3">
        <v>90</v>
      </c>
      <c r="W3">
        <v>12.2537</v>
      </c>
      <c r="AH3" t="s">
        <v>9</v>
      </c>
      <c r="AI3" t="s">
        <v>1</v>
      </c>
      <c r="AK3" t="s">
        <v>9</v>
      </c>
      <c r="AL3" t="s">
        <v>1</v>
      </c>
    </row>
    <row r="4" spans="1:38" x14ac:dyDescent="0.25">
      <c r="A4">
        <v>1000</v>
      </c>
      <c r="B4">
        <v>11.9773</v>
      </c>
      <c r="C4">
        <f>B4/A4</f>
        <v>1.19773E-2</v>
      </c>
      <c r="V4">
        <v>80</v>
      </c>
      <c r="W4">
        <v>12.208399999999999</v>
      </c>
      <c r="AH4">
        <v>39</v>
      </c>
      <c r="AI4">
        <v>11.8972</v>
      </c>
      <c r="AK4">
        <v>39</v>
      </c>
      <c r="AL4">
        <v>11.937900000000001</v>
      </c>
    </row>
    <row r="5" spans="1:38" x14ac:dyDescent="0.25">
      <c r="A5">
        <v>100</v>
      </c>
      <c r="B5">
        <v>11.9703</v>
      </c>
      <c r="C5">
        <f>B5/A5</f>
        <v>0.119703</v>
      </c>
      <c r="V5">
        <v>70</v>
      </c>
      <c r="W5">
        <v>12.156499999999999</v>
      </c>
      <c r="AH5">
        <v>41</v>
      </c>
      <c r="AI5">
        <v>11.923299999999999</v>
      </c>
      <c r="AK5">
        <v>41</v>
      </c>
      <c r="AL5">
        <v>11.9595</v>
      </c>
    </row>
    <row r="6" spans="1:38" x14ac:dyDescent="0.25">
      <c r="A6">
        <v>50</v>
      </c>
      <c r="B6">
        <v>11.963900000000001</v>
      </c>
      <c r="C6">
        <f>B6/A6</f>
        <v>0.23927800000000002</v>
      </c>
      <c r="V6">
        <v>60</v>
      </c>
      <c r="W6">
        <v>12.0947</v>
      </c>
    </row>
    <row r="7" spans="1:38" x14ac:dyDescent="0.25">
      <c r="A7">
        <v>20</v>
      </c>
      <c r="B7">
        <v>11.942399999999999</v>
      </c>
      <c r="C7">
        <f>B7/A7</f>
        <v>0.59711999999999998</v>
      </c>
      <c r="V7">
        <v>50</v>
      </c>
      <c r="W7">
        <v>12.017300000000001</v>
      </c>
      <c r="AH7" t="s">
        <v>21</v>
      </c>
      <c r="AI7">
        <f xml:space="preserve"> (AH5-AH4)/(AI5-AI4)</f>
        <v>76.628352490422728</v>
      </c>
      <c r="AK7" t="s">
        <v>21</v>
      </c>
      <c r="AL7">
        <f xml:space="preserve"> (AK5-AK4)/(AL5-AL4)</f>
        <v>92.592592592595182</v>
      </c>
    </row>
    <row r="8" spans="1:38" x14ac:dyDescent="0.25">
      <c r="A8">
        <v>15</v>
      </c>
      <c r="B8">
        <v>11.9278</v>
      </c>
      <c r="C8">
        <f t="shared" ref="C8:C23" si="0">B8/A8</f>
        <v>0.7951866666666666</v>
      </c>
      <c r="V8">
        <v>40</v>
      </c>
      <c r="W8">
        <v>11.910600000000001</v>
      </c>
    </row>
    <row r="9" spans="1:38" x14ac:dyDescent="0.25">
      <c r="A9">
        <v>12</v>
      </c>
      <c r="B9">
        <v>11.910600000000001</v>
      </c>
      <c r="C9">
        <f t="shared" si="0"/>
        <v>0.99255000000000004</v>
      </c>
      <c r="V9">
        <v>30</v>
      </c>
      <c r="W9">
        <v>11.7294</v>
      </c>
    </row>
    <row r="10" spans="1:38" x14ac:dyDescent="0.25">
      <c r="A10">
        <v>10</v>
      </c>
      <c r="B10">
        <v>11.8901</v>
      </c>
      <c r="C10">
        <f t="shared" si="0"/>
        <v>1.1890100000000001</v>
      </c>
      <c r="V10">
        <v>24</v>
      </c>
      <c r="W10">
        <v>11.480399999999999</v>
      </c>
      <c r="AH10" t="s">
        <v>16</v>
      </c>
      <c r="AK10" t="s">
        <v>24</v>
      </c>
    </row>
    <row r="11" spans="1:38" x14ac:dyDescent="0.25">
      <c r="A11">
        <v>7</v>
      </c>
      <c r="B11">
        <v>11.8157</v>
      </c>
      <c r="C11">
        <f t="shared" si="0"/>
        <v>1.6879571428571427</v>
      </c>
      <c r="P11" t="s">
        <v>13</v>
      </c>
      <c r="V11">
        <v>20</v>
      </c>
      <c r="W11">
        <v>10.745900000000001</v>
      </c>
      <c r="AH11" t="s">
        <v>9</v>
      </c>
      <c r="AI11" t="s">
        <v>1</v>
      </c>
      <c r="AK11" t="s">
        <v>9</v>
      </c>
      <c r="AL11" t="s">
        <v>1</v>
      </c>
    </row>
    <row r="12" spans="1:38" x14ac:dyDescent="0.25">
      <c r="A12">
        <v>6</v>
      </c>
      <c r="B12">
        <v>11.752000000000001</v>
      </c>
      <c r="C12">
        <f t="shared" si="0"/>
        <v>1.9586666666666668</v>
      </c>
      <c r="P12" t="s">
        <v>2</v>
      </c>
      <c r="Q12" t="s">
        <v>3</v>
      </c>
      <c r="R12" t="s">
        <v>4</v>
      </c>
      <c r="V12">
        <v>17.5</v>
      </c>
      <c r="W12">
        <v>9.4171600000000009</v>
      </c>
      <c r="AH12">
        <v>39</v>
      </c>
      <c r="AI12">
        <v>11.723000000000001</v>
      </c>
      <c r="AK12">
        <v>39</v>
      </c>
      <c r="AL12">
        <v>11.97</v>
      </c>
    </row>
    <row r="13" spans="1:38" x14ac:dyDescent="0.25">
      <c r="A13">
        <v>5</v>
      </c>
      <c r="B13">
        <v>11.6037</v>
      </c>
      <c r="C13">
        <f t="shared" si="0"/>
        <v>2.3207399999999998</v>
      </c>
      <c r="P13">
        <v>11</v>
      </c>
      <c r="Q13">
        <v>11.9017</v>
      </c>
      <c r="R13">
        <f>Q13/P13</f>
        <v>1.0819727272727273</v>
      </c>
      <c r="V13">
        <v>15</v>
      </c>
      <c r="W13">
        <v>8.0150500000000005</v>
      </c>
      <c r="AH13">
        <v>41</v>
      </c>
      <c r="AI13">
        <v>11.778</v>
      </c>
      <c r="AK13">
        <v>41</v>
      </c>
      <c r="AL13">
        <v>11.988799999999999</v>
      </c>
    </row>
    <row r="14" spans="1:38" x14ac:dyDescent="0.25">
      <c r="A14">
        <v>4.5</v>
      </c>
      <c r="B14">
        <v>11.4085</v>
      </c>
      <c r="C14">
        <f t="shared" si="0"/>
        <v>2.535222222222222</v>
      </c>
      <c r="P14">
        <v>13</v>
      </c>
      <c r="Q14">
        <v>11.9175</v>
      </c>
      <c r="R14">
        <f>Q14/P14</f>
        <v>0.91673076923076924</v>
      </c>
      <c r="V14">
        <v>12.5</v>
      </c>
      <c r="W14">
        <v>6.5896600000000003</v>
      </c>
    </row>
    <row r="15" spans="1:38" x14ac:dyDescent="0.25">
      <c r="A15">
        <v>4.25</v>
      </c>
      <c r="B15">
        <v>11.1995</v>
      </c>
      <c r="C15">
        <f t="shared" si="0"/>
        <v>2.6351764705882355</v>
      </c>
      <c r="V15">
        <v>10</v>
      </c>
      <c r="W15">
        <v>5.1387999999999998</v>
      </c>
      <c r="AH15" t="s">
        <v>21</v>
      </c>
      <c r="AI15">
        <f xml:space="preserve"> (AH13-AH12)/(AI13-AI12)</f>
        <v>36.363636363636552</v>
      </c>
      <c r="AK15" t="s">
        <v>21</v>
      </c>
      <c r="AL15">
        <f xml:space="preserve"> (AK13-AK12)/(AL13-AL12)</f>
        <v>106.38297872341094</v>
      </c>
    </row>
    <row r="16" spans="1:38" x14ac:dyDescent="0.25">
      <c r="A16">
        <v>4</v>
      </c>
      <c r="B16">
        <v>10.833</v>
      </c>
      <c r="C16">
        <f t="shared" si="0"/>
        <v>2.70825</v>
      </c>
      <c r="P16" t="s">
        <v>12</v>
      </c>
      <c r="Q16">
        <f xml:space="preserve"> (Q14-Q13)/(R13-R14)</f>
        <v>9.561736127569101E-2</v>
      </c>
      <c r="V16">
        <v>7.5</v>
      </c>
      <c r="W16">
        <v>3.6617600000000001</v>
      </c>
    </row>
    <row r="17" spans="1:40" x14ac:dyDescent="0.25">
      <c r="A17">
        <v>3.5</v>
      </c>
      <c r="B17">
        <v>9.8232999999999997</v>
      </c>
      <c r="C17">
        <f t="shared" si="0"/>
        <v>2.806657142857143</v>
      </c>
      <c r="P17" t="s">
        <v>10</v>
      </c>
      <c r="Q17">
        <v>96</v>
      </c>
      <c r="V17">
        <v>5</v>
      </c>
      <c r="W17">
        <v>2.21088</v>
      </c>
    </row>
    <row r="18" spans="1:40" x14ac:dyDescent="0.25">
      <c r="A18">
        <v>3</v>
      </c>
      <c r="B18">
        <v>8.7149999999999999</v>
      </c>
      <c r="C18">
        <f t="shared" si="0"/>
        <v>2.9049999999999998</v>
      </c>
      <c r="V18">
        <v>2.5</v>
      </c>
      <c r="W18">
        <v>0.97155199999999997</v>
      </c>
    </row>
    <row r="19" spans="1:40" ht="18.75" x14ac:dyDescent="0.3">
      <c r="A19">
        <v>2.5</v>
      </c>
      <c r="B19">
        <v>7.5265599999999999</v>
      </c>
      <c r="C19">
        <f t="shared" si="0"/>
        <v>3.010624</v>
      </c>
      <c r="P19" t="s">
        <v>6</v>
      </c>
      <c r="V19">
        <v>0</v>
      </c>
      <c r="W19">
        <v>0</v>
      </c>
      <c r="AJ19" t="s">
        <v>0</v>
      </c>
      <c r="AK19">
        <v>6</v>
      </c>
      <c r="AL19">
        <v>12</v>
      </c>
      <c r="AM19">
        <v>24</v>
      </c>
      <c r="AN19" s="2" t="s">
        <v>23</v>
      </c>
    </row>
    <row r="20" spans="1:40" x14ac:dyDescent="0.25">
      <c r="A20">
        <v>2</v>
      </c>
      <c r="B20">
        <v>6.2490199999999998</v>
      </c>
      <c r="C20">
        <f t="shared" si="0"/>
        <v>3.1245099999999999</v>
      </c>
      <c r="P20" t="s">
        <v>2</v>
      </c>
      <c r="Q20" t="s">
        <v>3</v>
      </c>
      <c r="R20" t="s">
        <v>4</v>
      </c>
      <c r="AJ20" t="s">
        <v>22</v>
      </c>
      <c r="AK20">
        <v>36</v>
      </c>
      <c r="AL20">
        <v>77</v>
      </c>
      <c r="AM20">
        <v>93</v>
      </c>
      <c r="AN20">
        <v>106</v>
      </c>
    </row>
    <row r="21" spans="1:40" x14ac:dyDescent="0.25">
      <c r="A21">
        <v>1.5</v>
      </c>
      <c r="B21">
        <v>4.8716299999999997</v>
      </c>
      <c r="C21">
        <f t="shared" si="0"/>
        <v>3.2477533333333333</v>
      </c>
      <c r="P21">
        <v>11</v>
      </c>
      <c r="Q21">
        <v>11.641999999999999</v>
      </c>
      <c r="R21">
        <f>Q21/P21</f>
        <v>1.0583636363636364</v>
      </c>
    </row>
    <row r="22" spans="1:40" x14ac:dyDescent="0.25">
      <c r="A22">
        <v>1</v>
      </c>
      <c r="B22">
        <v>3.38165</v>
      </c>
      <c r="C22">
        <f t="shared" si="0"/>
        <v>3.38165</v>
      </c>
      <c r="P22">
        <v>13</v>
      </c>
      <c r="Q22">
        <v>11.691000000000001</v>
      </c>
      <c r="R22">
        <f>Q22/P22</f>
        <v>0.89930769230769236</v>
      </c>
      <c r="V22" t="s">
        <v>14</v>
      </c>
      <c r="W22" t="s">
        <v>3</v>
      </c>
      <c r="Y22" t="s">
        <v>16</v>
      </c>
      <c r="AB22" t="s">
        <v>14</v>
      </c>
      <c r="AC22" t="s">
        <v>3</v>
      </c>
      <c r="AE22" t="s">
        <v>20</v>
      </c>
      <c r="AG22">
        <v>40</v>
      </c>
      <c r="AH22">
        <v>0</v>
      </c>
    </row>
    <row r="23" spans="1:40" x14ac:dyDescent="0.25">
      <c r="A23">
        <v>0.5</v>
      </c>
      <c r="B23">
        <v>1.76389</v>
      </c>
      <c r="C23">
        <f t="shared" si="0"/>
        <v>3.5277799999999999</v>
      </c>
      <c r="F23" t="s">
        <v>9</v>
      </c>
      <c r="G23">
        <v>28</v>
      </c>
      <c r="H23">
        <v>40</v>
      </c>
      <c r="I23">
        <v>58</v>
      </c>
      <c r="V23">
        <v>100</v>
      </c>
      <c r="W23">
        <v>12.279</v>
      </c>
      <c r="AB23">
        <v>100</v>
      </c>
      <c r="AC23">
        <v>12.3066</v>
      </c>
      <c r="AG23">
        <v>40</v>
      </c>
      <c r="AH23">
        <v>20</v>
      </c>
    </row>
    <row r="24" spans="1:40" x14ac:dyDescent="0.25">
      <c r="A24">
        <v>0</v>
      </c>
      <c r="B24">
        <v>0</v>
      </c>
      <c r="C24">
        <v>3.6880700000000002</v>
      </c>
      <c r="F24" t="s">
        <v>11</v>
      </c>
      <c r="P24" t="s">
        <v>12</v>
      </c>
      <c r="Q24">
        <f xml:space="preserve"> (Q22-Q21)/(R21-R22)</f>
        <v>0.30806770718840104</v>
      </c>
      <c r="V24">
        <v>90</v>
      </c>
      <c r="W24">
        <v>12.2346</v>
      </c>
      <c r="AB24">
        <v>90</v>
      </c>
      <c r="AC24">
        <v>12.268700000000001</v>
      </c>
    </row>
    <row r="25" spans="1:40" x14ac:dyDescent="0.25">
      <c r="P25" t="s">
        <v>10</v>
      </c>
      <c r="Q25">
        <v>308</v>
      </c>
      <c r="V25">
        <v>80</v>
      </c>
      <c r="W25">
        <v>12.1836</v>
      </c>
      <c r="AB25">
        <v>80</v>
      </c>
      <c r="AC25">
        <v>12.226800000000001</v>
      </c>
    </row>
    <row r="26" spans="1:40" x14ac:dyDescent="0.25">
      <c r="V26">
        <v>70</v>
      </c>
      <c r="W26">
        <v>12.1226</v>
      </c>
      <c r="AB26">
        <v>70</v>
      </c>
      <c r="AC26">
        <v>12.1798</v>
      </c>
    </row>
    <row r="27" spans="1:40" x14ac:dyDescent="0.25">
      <c r="P27" t="s">
        <v>18</v>
      </c>
      <c r="V27">
        <v>60</v>
      </c>
      <c r="W27">
        <v>12.045500000000001</v>
      </c>
      <c r="AB27">
        <v>60</v>
      </c>
      <c r="AC27">
        <v>12.1256</v>
      </c>
    </row>
    <row r="28" spans="1:40" x14ac:dyDescent="0.25">
      <c r="A28" t="s">
        <v>2</v>
      </c>
      <c r="B28" t="s">
        <v>3</v>
      </c>
      <c r="C28" t="s">
        <v>4</v>
      </c>
      <c r="E28" t="s">
        <v>6</v>
      </c>
      <c r="G28" t="s">
        <v>19</v>
      </c>
      <c r="P28" t="s">
        <v>2</v>
      </c>
      <c r="Q28" t="s">
        <v>3</v>
      </c>
      <c r="R28" t="s">
        <v>4</v>
      </c>
      <c r="V28">
        <v>50</v>
      </c>
      <c r="W28">
        <v>11.9381</v>
      </c>
      <c r="AB28">
        <v>50</v>
      </c>
      <c r="AC28">
        <v>12.061</v>
      </c>
    </row>
    <row r="29" spans="1:40" x14ac:dyDescent="0.25">
      <c r="A29">
        <v>100000</v>
      </c>
      <c r="B29">
        <v>11.8362</v>
      </c>
      <c r="C29">
        <f>B29/A29</f>
        <v>1.18362E-4</v>
      </c>
      <c r="G29">
        <v>0</v>
      </c>
      <c r="H29">
        <v>24</v>
      </c>
      <c r="P29">
        <v>11</v>
      </c>
      <c r="Q29">
        <v>12.0913</v>
      </c>
      <c r="R29">
        <f>Q29/P29</f>
        <v>1.099209090909091</v>
      </c>
      <c r="V29">
        <v>40</v>
      </c>
      <c r="W29">
        <v>11.752000000000001</v>
      </c>
      <c r="AB29">
        <v>40</v>
      </c>
      <c r="AC29">
        <v>11.9796</v>
      </c>
    </row>
    <row r="30" spans="1:40" x14ac:dyDescent="0.25">
      <c r="A30">
        <v>10000</v>
      </c>
      <c r="B30">
        <v>11.8354</v>
      </c>
      <c r="C30">
        <f t="shared" ref="C30:C50" si="1">B30/A30</f>
        <v>1.1835400000000001E-3</v>
      </c>
      <c r="G30">
        <v>0</v>
      </c>
      <c r="H30">
        <v>2</v>
      </c>
      <c r="P30">
        <v>13</v>
      </c>
      <c r="Q30">
        <v>12.0974</v>
      </c>
      <c r="R30">
        <f>Q30/P30</f>
        <v>0.93056923076923082</v>
      </c>
      <c r="V30">
        <v>35</v>
      </c>
      <c r="W30">
        <v>11.457100000000001</v>
      </c>
      <c r="AB30">
        <v>30</v>
      </c>
      <c r="AC30">
        <v>11.866</v>
      </c>
    </row>
    <row r="31" spans="1:40" x14ac:dyDescent="0.25">
      <c r="A31">
        <v>1000</v>
      </c>
      <c r="B31">
        <v>11.8323</v>
      </c>
      <c r="C31">
        <f t="shared" si="1"/>
        <v>1.18323E-2</v>
      </c>
      <c r="V31">
        <v>30</v>
      </c>
      <c r="W31">
        <v>10.789</v>
      </c>
      <c r="AB31">
        <v>24</v>
      </c>
      <c r="AC31">
        <v>11.7646</v>
      </c>
    </row>
    <row r="32" spans="1:40" x14ac:dyDescent="0.25">
      <c r="A32">
        <v>100</v>
      </c>
      <c r="B32">
        <v>11.818899999999999</v>
      </c>
      <c r="C32">
        <f t="shared" si="1"/>
        <v>0.11818899999999999</v>
      </c>
      <c r="P32" t="s">
        <v>12</v>
      </c>
      <c r="Q32">
        <f xml:space="preserve"> (Q30-Q29)/(R29-R30)</f>
        <v>3.6171756753954877E-2</v>
      </c>
      <c r="V32">
        <v>27.5</v>
      </c>
      <c r="W32">
        <v>10.067600000000001</v>
      </c>
      <c r="AB32">
        <v>20</v>
      </c>
      <c r="AC32">
        <v>11.6645</v>
      </c>
    </row>
    <row r="33" spans="1:29" x14ac:dyDescent="0.25">
      <c r="A33">
        <v>50</v>
      </c>
      <c r="B33">
        <v>11.8057</v>
      </c>
      <c r="C33">
        <f t="shared" si="1"/>
        <v>0.23611399999999999</v>
      </c>
      <c r="P33" t="s">
        <v>10</v>
      </c>
      <c r="Q33">
        <v>36</v>
      </c>
      <c r="V33">
        <v>25</v>
      </c>
      <c r="W33">
        <v>9.18797</v>
      </c>
      <c r="AB33">
        <v>17.5</v>
      </c>
      <c r="AC33">
        <v>11.5725</v>
      </c>
    </row>
    <row r="34" spans="1:29" x14ac:dyDescent="0.25">
      <c r="A34">
        <v>20</v>
      </c>
      <c r="B34">
        <v>11.757</v>
      </c>
      <c r="C34">
        <f t="shared" si="1"/>
        <v>0.58784999999999998</v>
      </c>
      <c r="V34">
        <v>22.5</v>
      </c>
      <c r="W34">
        <v>8.2987199999999994</v>
      </c>
      <c r="AB34">
        <v>15</v>
      </c>
      <c r="AC34">
        <v>11.4237</v>
      </c>
    </row>
    <row r="35" spans="1:29" x14ac:dyDescent="0.25">
      <c r="A35">
        <v>15</v>
      </c>
      <c r="B35">
        <v>11.7197</v>
      </c>
      <c r="C35">
        <f t="shared" si="1"/>
        <v>0.7813133333333333</v>
      </c>
      <c r="V35">
        <v>20</v>
      </c>
      <c r="W35">
        <v>7.3985300000000001</v>
      </c>
      <c r="AB35">
        <v>12.5</v>
      </c>
      <c r="AC35">
        <v>11.010300000000001</v>
      </c>
    </row>
    <row r="36" spans="1:29" x14ac:dyDescent="0.25">
      <c r="A36">
        <v>12</v>
      </c>
      <c r="B36">
        <v>11.670199999999999</v>
      </c>
      <c r="C36">
        <f t="shared" si="1"/>
        <v>0.97251666666666658</v>
      </c>
      <c r="L36" t="s">
        <v>9</v>
      </c>
      <c r="M36">
        <v>28</v>
      </c>
      <c r="N36">
        <v>40</v>
      </c>
      <c r="O36">
        <v>60</v>
      </c>
      <c r="V36">
        <v>17.5</v>
      </c>
      <c r="W36">
        <v>6.4842700000000004</v>
      </c>
      <c r="AB36">
        <v>11</v>
      </c>
      <c r="AC36">
        <v>9.9215199999999992</v>
      </c>
    </row>
    <row r="37" spans="1:29" x14ac:dyDescent="0.25">
      <c r="A37">
        <v>10</v>
      </c>
      <c r="B37">
        <v>11.6013</v>
      </c>
      <c r="C37">
        <f t="shared" si="1"/>
        <v>1.1601300000000001</v>
      </c>
      <c r="L37" t="s">
        <v>10</v>
      </c>
      <c r="M37">
        <v>308</v>
      </c>
      <c r="N37">
        <v>96</v>
      </c>
      <c r="O37">
        <v>36</v>
      </c>
      <c r="V37">
        <v>15</v>
      </c>
      <c r="W37">
        <v>5.55213</v>
      </c>
      <c r="AB37">
        <v>10</v>
      </c>
      <c r="AC37">
        <v>8.9308099999999992</v>
      </c>
    </row>
    <row r="38" spans="1:29" x14ac:dyDescent="0.25">
      <c r="A38">
        <v>8</v>
      </c>
      <c r="B38">
        <v>11.4184</v>
      </c>
      <c r="C38">
        <f t="shared" si="1"/>
        <v>1.4273</v>
      </c>
      <c r="V38">
        <v>12.5</v>
      </c>
      <c r="W38">
        <v>4.5975000000000001</v>
      </c>
      <c r="AB38">
        <v>8.5</v>
      </c>
      <c r="AC38">
        <v>7.4424099999999997</v>
      </c>
    </row>
    <row r="39" spans="1:29" x14ac:dyDescent="0.25">
      <c r="A39">
        <v>7</v>
      </c>
      <c r="B39">
        <v>11.1127</v>
      </c>
      <c r="C39">
        <f t="shared" si="1"/>
        <v>1.5875285714285714</v>
      </c>
      <c r="V39">
        <v>10</v>
      </c>
      <c r="W39">
        <v>3.61497</v>
      </c>
      <c r="AB39">
        <v>7.5</v>
      </c>
      <c r="AC39">
        <v>6.4512799999999997</v>
      </c>
    </row>
    <row r="40" spans="1:29" x14ac:dyDescent="0.25">
      <c r="A40">
        <v>6</v>
      </c>
      <c r="B40">
        <v>10.241400000000001</v>
      </c>
      <c r="C40">
        <f t="shared" si="1"/>
        <v>1.7069000000000001</v>
      </c>
      <c r="V40">
        <v>7.5</v>
      </c>
      <c r="W40">
        <v>2.5988799999999999</v>
      </c>
      <c r="AB40">
        <v>6</v>
      </c>
      <c r="AC40">
        <v>4.9671000000000003</v>
      </c>
    </row>
    <row r="41" spans="1:29" x14ac:dyDescent="0.25">
      <c r="A41">
        <v>5</v>
      </c>
      <c r="B41">
        <v>9.0657700000000006</v>
      </c>
      <c r="C41">
        <f t="shared" si="1"/>
        <v>1.8131540000000002</v>
      </c>
      <c r="V41">
        <v>5</v>
      </c>
      <c r="W41">
        <v>1.5463800000000001</v>
      </c>
      <c r="AB41">
        <v>5</v>
      </c>
      <c r="AC41">
        <v>3.9801700000000002</v>
      </c>
    </row>
    <row r="42" spans="1:29" x14ac:dyDescent="0.25">
      <c r="A42">
        <v>4.5</v>
      </c>
      <c r="B42">
        <v>8.4191500000000001</v>
      </c>
      <c r="C42">
        <f t="shared" si="1"/>
        <v>1.8709222222222222</v>
      </c>
      <c r="V42">
        <v>2.5</v>
      </c>
      <c r="W42">
        <v>0.779555</v>
      </c>
      <c r="AB42">
        <v>2.75</v>
      </c>
      <c r="AC42">
        <v>1.7758700000000001</v>
      </c>
    </row>
    <row r="43" spans="1:29" x14ac:dyDescent="0.25">
      <c r="A43">
        <v>4</v>
      </c>
      <c r="B43">
        <v>7.7294400000000003</v>
      </c>
      <c r="C43">
        <f t="shared" si="1"/>
        <v>1.9323600000000001</v>
      </c>
      <c r="V43">
        <v>0</v>
      </c>
      <c r="W43">
        <v>0</v>
      </c>
      <c r="AB43">
        <v>0</v>
      </c>
      <c r="AC43">
        <v>0</v>
      </c>
    </row>
    <row r="44" spans="1:29" x14ac:dyDescent="0.25">
      <c r="A44">
        <v>3.5</v>
      </c>
      <c r="B44">
        <v>6.9924400000000002</v>
      </c>
      <c r="C44">
        <f t="shared" si="1"/>
        <v>1.9978400000000001</v>
      </c>
    </row>
    <row r="45" spans="1:29" x14ac:dyDescent="0.25">
      <c r="A45">
        <v>3</v>
      </c>
      <c r="B45">
        <v>6.20336</v>
      </c>
      <c r="C45">
        <f t="shared" si="1"/>
        <v>2.0677866666666667</v>
      </c>
      <c r="V45" t="s">
        <v>14</v>
      </c>
      <c r="W45" t="s">
        <v>3</v>
      </c>
      <c r="Y45" t="s">
        <v>17</v>
      </c>
    </row>
    <row r="46" spans="1:29" x14ac:dyDescent="0.25">
      <c r="A46">
        <v>2.5</v>
      </c>
      <c r="B46">
        <v>5.3567200000000001</v>
      </c>
      <c r="C46">
        <f t="shared" si="1"/>
        <v>2.1426880000000001</v>
      </c>
      <c r="V46">
        <v>100</v>
      </c>
      <c r="W46">
        <v>12.299799999999999</v>
      </c>
    </row>
    <row r="47" spans="1:29" x14ac:dyDescent="0.25">
      <c r="A47">
        <v>2</v>
      </c>
      <c r="B47">
        <v>4.4462200000000003</v>
      </c>
      <c r="C47">
        <f t="shared" si="1"/>
        <v>2.2231100000000001</v>
      </c>
      <c r="V47">
        <v>90</v>
      </c>
      <c r="W47">
        <v>12.2607</v>
      </c>
    </row>
    <row r="48" spans="1:29" x14ac:dyDescent="0.25">
      <c r="A48">
        <v>1.5</v>
      </c>
      <c r="B48">
        <v>3.4645899999999998</v>
      </c>
      <c r="C48">
        <f t="shared" si="1"/>
        <v>2.3097266666666667</v>
      </c>
      <c r="V48">
        <v>80</v>
      </c>
      <c r="W48">
        <v>12.2173</v>
      </c>
    </row>
    <row r="49" spans="1:23" x14ac:dyDescent="0.25">
      <c r="A49">
        <v>1</v>
      </c>
      <c r="B49">
        <v>2.4033099999999998</v>
      </c>
      <c r="C49">
        <f t="shared" si="1"/>
        <v>2.4033099999999998</v>
      </c>
      <c r="V49">
        <v>70</v>
      </c>
      <c r="W49">
        <v>12.168100000000001</v>
      </c>
    </row>
    <row r="50" spans="1:23" x14ac:dyDescent="0.25">
      <c r="A50">
        <v>0.5</v>
      </c>
      <c r="B50">
        <v>1.2524</v>
      </c>
      <c r="C50">
        <f t="shared" si="1"/>
        <v>2.5047999999999999</v>
      </c>
      <c r="V50">
        <v>60</v>
      </c>
      <c r="W50">
        <v>12.1106</v>
      </c>
    </row>
    <row r="51" spans="1:23" x14ac:dyDescent="0.25">
      <c r="A51">
        <v>0</v>
      </c>
      <c r="B51">
        <v>0</v>
      </c>
      <c r="C51">
        <v>2.6153</v>
      </c>
      <c r="V51">
        <v>50</v>
      </c>
      <c r="W51">
        <v>12.0405</v>
      </c>
    </row>
    <row r="52" spans="1:23" x14ac:dyDescent="0.25">
      <c r="V52">
        <v>40</v>
      </c>
      <c r="W52">
        <v>11.9489</v>
      </c>
    </row>
    <row r="53" spans="1:23" x14ac:dyDescent="0.25">
      <c r="V53">
        <v>30</v>
      </c>
      <c r="W53">
        <v>11.811299999999999</v>
      </c>
    </row>
    <row r="54" spans="1:23" x14ac:dyDescent="0.25">
      <c r="V54">
        <v>24</v>
      </c>
      <c r="W54">
        <v>11.670500000000001</v>
      </c>
    </row>
    <row r="55" spans="1:23" x14ac:dyDescent="0.25">
      <c r="A55" t="s">
        <v>2</v>
      </c>
      <c r="B55" s="1" t="s">
        <v>7</v>
      </c>
      <c r="C55" s="1" t="s">
        <v>8</v>
      </c>
      <c r="E55" t="s">
        <v>18</v>
      </c>
      <c r="V55">
        <v>20</v>
      </c>
      <c r="W55">
        <v>11.495100000000001</v>
      </c>
    </row>
    <row r="56" spans="1:23" x14ac:dyDescent="0.25">
      <c r="A56">
        <v>100000</v>
      </c>
      <c r="B56">
        <v>12.1256</v>
      </c>
      <c r="C56">
        <f>B56/A56</f>
        <v>1.2125600000000001E-4</v>
      </c>
      <c r="V56">
        <v>17</v>
      </c>
      <c r="W56">
        <v>11.011200000000001</v>
      </c>
    </row>
    <row r="57" spans="1:23" x14ac:dyDescent="0.25">
      <c r="A57">
        <v>10000</v>
      </c>
      <c r="B57">
        <v>12.125299999999999</v>
      </c>
      <c r="C57">
        <f t="shared" ref="C57:C83" si="2">B57/A57</f>
        <v>1.2125299999999999E-3</v>
      </c>
      <c r="V57">
        <v>15</v>
      </c>
      <c r="W57">
        <v>10.167</v>
      </c>
    </row>
    <row r="58" spans="1:23" x14ac:dyDescent="0.25">
      <c r="A58">
        <v>1000</v>
      </c>
      <c r="B58">
        <v>12.1242</v>
      </c>
      <c r="C58">
        <f t="shared" si="2"/>
        <v>1.21242E-2</v>
      </c>
      <c r="V58">
        <v>12.5</v>
      </c>
      <c r="W58">
        <v>8.3189399999999996</v>
      </c>
    </row>
    <row r="59" spans="1:23" x14ac:dyDescent="0.25">
      <c r="A59">
        <v>100</v>
      </c>
      <c r="B59">
        <v>12.1206</v>
      </c>
      <c r="C59">
        <f t="shared" si="2"/>
        <v>0.12120599999999999</v>
      </c>
      <c r="V59">
        <v>10</v>
      </c>
      <c r="W59">
        <v>6.4533399999999999</v>
      </c>
    </row>
    <row r="60" spans="1:23" x14ac:dyDescent="0.25">
      <c r="A60">
        <v>50</v>
      </c>
      <c r="B60">
        <v>12.1175</v>
      </c>
      <c r="C60">
        <f t="shared" si="2"/>
        <v>0.24234999999999998</v>
      </c>
      <c r="V60">
        <v>7.5</v>
      </c>
      <c r="W60">
        <v>4.5789600000000004</v>
      </c>
    </row>
    <row r="61" spans="1:23" x14ac:dyDescent="0.25">
      <c r="A61">
        <v>20</v>
      </c>
      <c r="B61">
        <v>12.107699999999999</v>
      </c>
      <c r="C61">
        <f t="shared" si="2"/>
        <v>0.60538499999999995</v>
      </c>
      <c r="V61">
        <v>5</v>
      </c>
      <c r="W61">
        <v>2.70574</v>
      </c>
    </row>
    <row r="62" spans="1:23" x14ac:dyDescent="0.25">
      <c r="A62">
        <v>15</v>
      </c>
      <c r="B62">
        <v>12.101599999999999</v>
      </c>
      <c r="C62">
        <f t="shared" si="2"/>
        <v>0.80677333333333334</v>
      </c>
      <c r="V62">
        <v>2.75</v>
      </c>
      <c r="W62">
        <v>1.1508799999999999</v>
      </c>
    </row>
    <row r="63" spans="1:23" x14ac:dyDescent="0.25">
      <c r="A63">
        <v>12</v>
      </c>
      <c r="B63">
        <v>12.0947</v>
      </c>
      <c r="C63">
        <f t="shared" si="2"/>
        <v>1.0078916666666666</v>
      </c>
      <c r="V63">
        <v>0</v>
      </c>
      <c r="W63">
        <v>0</v>
      </c>
    </row>
    <row r="64" spans="1:23" x14ac:dyDescent="0.25">
      <c r="A64">
        <v>10</v>
      </c>
      <c r="B64">
        <v>12.087</v>
      </c>
      <c r="C64">
        <f t="shared" si="2"/>
        <v>1.2086999999999999</v>
      </c>
    </row>
    <row r="65" spans="1:3" x14ac:dyDescent="0.25">
      <c r="A65">
        <v>7</v>
      </c>
      <c r="B65">
        <v>12.0626</v>
      </c>
      <c r="C65">
        <f t="shared" si="2"/>
        <v>1.7232285714285713</v>
      </c>
    </row>
    <row r="66" spans="1:3" x14ac:dyDescent="0.25">
      <c r="A66">
        <v>6</v>
      </c>
      <c r="B66">
        <v>12.045500000000001</v>
      </c>
      <c r="C66">
        <f t="shared" si="2"/>
        <v>2.0075833333333333</v>
      </c>
    </row>
    <row r="67" spans="1:3" x14ac:dyDescent="0.25">
      <c r="A67">
        <v>5</v>
      </c>
      <c r="B67">
        <v>12.0159</v>
      </c>
      <c r="C67">
        <f t="shared" si="2"/>
        <v>2.4031799999999999</v>
      </c>
    </row>
    <row r="68" spans="1:3" x14ac:dyDescent="0.25">
      <c r="A68">
        <v>4.5</v>
      </c>
      <c r="B68">
        <v>11.9915</v>
      </c>
      <c r="C68">
        <f t="shared" si="2"/>
        <v>2.6647777777777777</v>
      </c>
    </row>
    <row r="69" spans="1:3" x14ac:dyDescent="0.25">
      <c r="A69">
        <v>4.25</v>
      </c>
      <c r="B69">
        <v>11.9749</v>
      </c>
      <c r="C69">
        <f t="shared" si="2"/>
        <v>2.8176235294117649</v>
      </c>
    </row>
    <row r="70" spans="1:3" x14ac:dyDescent="0.25">
      <c r="A70">
        <v>4</v>
      </c>
      <c r="B70">
        <v>11.953900000000001</v>
      </c>
      <c r="C70">
        <f t="shared" si="2"/>
        <v>2.9884750000000002</v>
      </c>
    </row>
    <row r="71" spans="1:3" x14ac:dyDescent="0.25">
      <c r="A71">
        <v>3.5</v>
      </c>
      <c r="B71">
        <v>11.889200000000001</v>
      </c>
      <c r="C71">
        <f t="shared" si="2"/>
        <v>3.3969142857142858</v>
      </c>
    </row>
    <row r="72" spans="1:3" x14ac:dyDescent="0.25">
      <c r="A72">
        <v>3</v>
      </c>
      <c r="B72">
        <v>11.749499999999999</v>
      </c>
      <c r="C72">
        <f t="shared" si="2"/>
        <v>3.9164999999999996</v>
      </c>
    </row>
    <row r="73" spans="1:3" x14ac:dyDescent="0.25">
      <c r="A73">
        <v>2.75</v>
      </c>
      <c r="B73">
        <v>11.5876</v>
      </c>
      <c r="C73">
        <f t="shared" si="2"/>
        <v>4.2136727272727272</v>
      </c>
    </row>
    <row r="74" spans="1:3" x14ac:dyDescent="0.25">
      <c r="A74">
        <v>2.5</v>
      </c>
      <c r="B74">
        <v>11.1614</v>
      </c>
      <c r="C74">
        <f t="shared" si="2"/>
        <v>4.4645600000000005</v>
      </c>
    </row>
    <row r="75" spans="1:3" x14ac:dyDescent="0.25">
      <c r="A75">
        <v>2.25</v>
      </c>
      <c r="B75">
        <v>10.3186</v>
      </c>
      <c r="C75">
        <f t="shared" si="2"/>
        <v>4.5860444444444441</v>
      </c>
    </row>
    <row r="76" spans="1:3" x14ac:dyDescent="0.25">
      <c r="A76">
        <v>2</v>
      </c>
      <c r="B76">
        <v>9.3566199999999995</v>
      </c>
      <c r="C76">
        <f t="shared" si="2"/>
        <v>4.6783099999999997</v>
      </c>
    </row>
    <row r="77" spans="1:3" x14ac:dyDescent="0.25">
      <c r="A77">
        <v>1.75</v>
      </c>
      <c r="B77">
        <v>8.3546700000000005</v>
      </c>
      <c r="C77">
        <f t="shared" si="2"/>
        <v>4.7740971428571433</v>
      </c>
    </row>
    <row r="78" spans="1:3" x14ac:dyDescent="0.25">
      <c r="A78">
        <v>1.5</v>
      </c>
      <c r="B78">
        <v>7.3114400000000002</v>
      </c>
      <c r="C78">
        <f t="shared" si="2"/>
        <v>4.8742933333333331</v>
      </c>
    </row>
    <row r="79" spans="1:3" x14ac:dyDescent="0.25">
      <c r="A79">
        <v>1.25</v>
      </c>
      <c r="B79">
        <v>6.2240599999999997</v>
      </c>
      <c r="C79">
        <f t="shared" si="2"/>
        <v>4.9792480000000001</v>
      </c>
    </row>
    <row r="80" spans="1:3" x14ac:dyDescent="0.25">
      <c r="A80">
        <v>1</v>
      </c>
      <c r="B80">
        <v>5.0893300000000004</v>
      </c>
      <c r="C80">
        <f t="shared" si="2"/>
        <v>5.0893300000000004</v>
      </c>
    </row>
    <row r="81" spans="1:3" x14ac:dyDescent="0.25">
      <c r="A81">
        <v>0.75</v>
      </c>
      <c r="B81">
        <v>3.9037299999999999</v>
      </c>
      <c r="C81">
        <f t="shared" si="2"/>
        <v>5.2049733333333332</v>
      </c>
    </row>
    <row r="82" spans="1:3" x14ac:dyDescent="0.25">
      <c r="A82">
        <v>0.5</v>
      </c>
      <c r="B82">
        <v>2.6633300000000002</v>
      </c>
      <c r="C82">
        <f t="shared" si="2"/>
        <v>5.3266600000000004</v>
      </c>
    </row>
    <row r="83" spans="1:3" x14ac:dyDescent="0.25">
      <c r="A83">
        <v>0.25</v>
      </c>
      <c r="B83">
        <v>1.3637300000000001</v>
      </c>
      <c r="C83">
        <f t="shared" si="2"/>
        <v>5.4549200000000004</v>
      </c>
    </row>
    <row r="84" spans="1:3" x14ac:dyDescent="0.25">
      <c r="A84">
        <v>0</v>
      </c>
      <c r="B84">
        <v>0</v>
      </c>
      <c r="C84">
        <v>5.5903400000000003</v>
      </c>
    </row>
  </sheetData>
  <sortState ref="V2:V19">
    <sortCondition descending="1" ref="V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2025-05-04T20:00:57Z</dcterms:modified>
</cp:coreProperties>
</file>