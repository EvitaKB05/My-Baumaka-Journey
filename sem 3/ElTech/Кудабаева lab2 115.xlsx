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bel\OneDrive\Рабочий стол\ElTech\"/>
    </mc:Choice>
  </mc:AlternateContent>
  <xr:revisionPtr revIDLastSave="0" documentId="13_ncr:1_{7026233D-B427-4A12-8DF8-2A071423C015}" xr6:coauthVersionLast="45" xr6:coauthVersionMax="47" xr10:uidLastSave="{00000000-0000-0000-0000-000000000000}"/>
  <bookViews>
    <workbookView xWindow="-120" yWindow="-120" windowWidth="20730" windowHeight="11040" xr2:uid="{4004BE1A-3290-4485-A1EF-25E23B6E13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5" i="1" l="1"/>
  <c r="J72" i="1" l="1"/>
  <c r="C74" i="1"/>
  <c r="C73" i="1"/>
  <c r="C75" i="1"/>
  <c r="C6" i="1" l="1"/>
  <c r="C17" i="1"/>
  <c r="C18" i="1"/>
  <c r="C19" i="1"/>
  <c r="B5" i="1" l="1"/>
  <c r="C15" i="1" l="1"/>
  <c r="C14" i="1"/>
  <c r="C16" i="1"/>
  <c r="C13" i="1"/>
  <c r="C12" i="1"/>
  <c r="C11" i="1"/>
  <c r="C9" i="1"/>
  <c r="C8" i="1"/>
  <c r="C7" i="1"/>
  <c r="C10" i="1"/>
  <c r="G25" i="1" l="1"/>
  <c r="G24" i="1"/>
</calcChain>
</file>

<file path=xl/sharedStrings.xml><?xml version="1.0" encoding="utf-8"?>
<sst xmlns="http://schemas.openxmlformats.org/spreadsheetml/2006/main" count="19" uniqueCount="17">
  <si>
    <t>R</t>
  </si>
  <si>
    <t>U</t>
  </si>
  <si>
    <t>I</t>
  </si>
  <si>
    <t xml:space="preserve">Uxx = </t>
  </si>
  <si>
    <t>∞</t>
  </si>
  <si>
    <t>Iкз =</t>
  </si>
  <si>
    <r>
      <t>r</t>
    </r>
    <r>
      <rPr>
        <vertAlign val="subscript"/>
        <sz val="14"/>
        <color theme="1"/>
        <rFont val="Calibri"/>
        <family val="2"/>
        <charset val="204"/>
        <scheme val="minor"/>
      </rPr>
      <t>min</t>
    </r>
  </si>
  <si>
    <r>
      <t>r</t>
    </r>
    <r>
      <rPr>
        <vertAlign val="subscript"/>
        <sz val="14"/>
        <color theme="1"/>
        <rFont val="Calibri"/>
        <family val="2"/>
        <charset val="204"/>
        <scheme val="minor"/>
      </rPr>
      <t>max</t>
    </r>
  </si>
  <si>
    <t>Ом</t>
  </si>
  <si>
    <t>r</t>
  </si>
  <si>
    <t>мОм</t>
  </si>
  <si>
    <t>Om</t>
  </si>
  <si>
    <t>R=</t>
  </si>
  <si>
    <t>I0 =</t>
  </si>
  <si>
    <t>U0=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</si>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</sst>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00"/>
  </numFmts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</font>
    <font>
      <vertAlign val="subscript"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8912394732025176E-2"/>
          <c:y val="5.3790866300313454E-2"/>
          <c:w val="0.90692323630109695"/>
          <c:h val="0.885027847097344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Лист1!$C$5:$C$20</c:f>
              <c:numCache>
                <c:formatCode>0.000000000</c:formatCode>
                <c:ptCount val="16"/>
                <c:pt idx="0" formatCode="General">
                  <c:v>0</c:v>
                </c:pt>
                <c:pt idx="1">
                  <c:v>1.254922E-6</c:v>
                </c:pt>
                <c:pt idx="2" formatCode="General">
                  <c:v>1.254921E-3</c:v>
                </c:pt>
                <c:pt idx="3" formatCode="General">
                  <c:v>1.254917E-2</c:v>
                </c:pt>
                <c:pt idx="4" formatCode="General">
                  <c:v>0.12548719999999999</c:v>
                </c:pt>
                <c:pt idx="5" formatCode="General">
                  <c:v>1.2544200000000001</c:v>
                </c:pt>
                <c:pt idx="6" formatCode="General">
                  <c:v>4.1775033333333331</c:v>
                </c:pt>
                <c:pt idx="7" formatCode="General">
                  <c:v>5.5429424778761058</c:v>
                </c:pt>
                <c:pt idx="8" formatCode="General">
                  <c:v>6.3896224489795923</c:v>
                </c:pt>
                <c:pt idx="9" formatCode="General">
                  <c:v>6.5224635416666663</c:v>
                </c:pt>
                <c:pt idx="10" formatCode="General">
                  <c:v>6.5909789473684208</c:v>
                </c:pt>
                <c:pt idx="11" formatCode="0.000000">
                  <c:v>6.6000000000000005</c:v>
                </c:pt>
                <c:pt idx="12" formatCode="General">
                  <c:v>6.6</c:v>
                </c:pt>
                <c:pt idx="13" formatCode="General">
                  <c:v>6.6000000000000005</c:v>
                </c:pt>
                <c:pt idx="14" formatCode="General">
                  <c:v>6.6</c:v>
                </c:pt>
                <c:pt idx="15" formatCode="General">
                  <c:v>6.6</c:v>
                </c:pt>
              </c:numCache>
            </c:numRef>
          </c:xVal>
          <c:yVal>
            <c:numRef>
              <c:f>Лист1!$B$5:$B$20</c:f>
              <c:numCache>
                <c:formatCode>General</c:formatCode>
                <c:ptCount val="16"/>
                <c:pt idx="0">
                  <c:v>1.2549920000000001</c:v>
                </c:pt>
                <c:pt idx="1">
                  <c:v>1.2549220000000001</c:v>
                </c:pt>
                <c:pt idx="2">
                  <c:v>1.254921</c:v>
                </c:pt>
                <c:pt idx="3">
                  <c:v>1.2549170000000001</c:v>
                </c:pt>
                <c:pt idx="4">
                  <c:v>1.254872</c:v>
                </c:pt>
                <c:pt idx="5">
                  <c:v>1.2544200000000001</c:v>
                </c:pt>
                <c:pt idx="6">
                  <c:v>1.2532509999999999</c:v>
                </c:pt>
                <c:pt idx="7">
                  <c:v>1.252705</c:v>
                </c:pt>
                <c:pt idx="8">
                  <c:v>1.2523660000000001</c:v>
                </c:pt>
                <c:pt idx="9">
                  <c:v>1.252313</c:v>
                </c:pt>
                <c:pt idx="10">
                  <c:v>1.252286</c:v>
                </c:pt>
                <c:pt idx="11">
                  <c:v>1.2474000000000001</c:v>
                </c:pt>
                <c:pt idx="12">
                  <c:v>1.2078</c:v>
                </c:pt>
                <c:pt idx="13">
                  <c:v>1.1220000000000001</c:v>
                </c:pt>
                <c:pt idx="14">
                  <c:v>0.66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0-4542-8350-B4712EC31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00959"/>
        <c:axId val="1029706719"/>
      </c:scatterChart>
      <c:valAx>
        <c:axId val="102970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7005081573822671"/>
              <c:y val="0.9257158090091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719"/>
        <c:crosses val="autoZero"/>
        <c:crossBetween val="midCat"/>
      </c:valAx>
      <c:valAx>
        <c:axId val="1029706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U,B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5334097381902094E-3"/>
              <c:y val="1.51286811469627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391649012185619E-2"/>
          <c:y val="5.3790797661313228E-2"/>
          <c:w val="0.90692323630109695"/>
          <c:h val="0.8850278470973448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Лист1!$C$5:$C$20</c:f>
              <c:numCache>
                <c:formatCode>0.000000000</c:formatCode>
                <c:ptCount val="16"/>
                <c:pt idx="0" formatCode="General">
                  <c:v>0</c:v>
                </c:pt>
                <c:pt idx="1">
                  <c:v>1.254922E-6</c:v>
                </c:pt>
                <c:pt idx="2" formatCode="General">
                  <c:v>1.254921E-3</c:v>
                </c:pt>
                <c:pt idx="3" formatCode="General">
                  <c:v>1.254917E-2</c:v>
                </c:pt>
                <c:pt idx="4" formatCode="General">
                  <c:v>0.12548719999999999</c:v>
                </c:pt>
                <c:pt idx="5" formatCode="General">
                  <c:v>1.2544200000000001</c:v>
                </c:pt>
                <c:pt idx="6" formatCode="General">
                  <c:v>4.1775033333333331</c:v>
                </c:pt>
                <c:pt idx="7" formatCode="General">
                  <c:v>5.5429424778761058</c:v>
                </c:pt>
                <c:pt idx="8" formatCode="General">
                  <c:v>6.3896224489795923</c:v>
                </c:pt>
                <c:pt idx="9" formatCode="General">
                  <c:v>6.5224635416666663</c:v>
                </c:pt>
                <c:pt idx="10" formatCode="General">
                  <c:v>6.5909789473684208</c:v>
                </c:pt>
                <c:pt idx="11" formatCode="0.000000">
                  <c:v>6.6000000000000005</c:v>
                </c:pt>
                <c:pt idx="12" formatCode="General">
                  <c:v>6.6</c:v>
                </c:pt>
                <c:pt idx="13" formatCode="General">
                  <c:v>6.6000000000000005</c:v>
                </c:pt>
                <c:pt idx="14" formatCode="General">
                  <c:v>6.6</c:v>
                </c:pt>
                <c:pt idx="15" formatCode="General">
                  <c:v>6.6</c:v>
                </c:pt>
              </c:numCache>
            </c:numRef>
          </c:xVal>
          <c:yVal>
            <c:numRef>
              <c:f>Лист1!$B$5:$B$20</c:f>
              <c:numCache>
                <c:formatCode>General</c:formatCode>
                <c:ptCount val="16"/>
                <c:pt idx="0">
                  <c:v>1.2549920000000001</c:v>
                </c:pt>
                <c:pt idx="1">
                  <c:v>1.2549220000000001</c:v>
                </c:pt>
                <c:pt idx="2">
                  <c:v>1.254921</c:v>
                </c:pt>
                <c:pt idx="3">
                  <c:v>1.2549170000000001</c:v>
                </c:pt>
                <c:pt idx="4">
                  <c:v>1.254872</c:v>
                </c:pt>
                <c:pt idx="5">
                  <c:v>1.2544200000000001</c:v>
                </c:pt>
                <c:pt idx="6">
                  <c:v>1.2532509999999999</c:v>
                </c:pt>
                <c:pt idx="7">
                  <c:v>1.252705</c:v>
                </c:pt>
                <c:pt idx="8">
                  <c:v>1.2523660000000001</c:v>
                </c:pt>
                <c:pt idx="9">
                  <c:v>1.252313</c:v>
                </c:pt>
                <c:pt idx="10">
                  <c:v>1.252286</c:v>
                </c:pt>
                <c:pt idx="11">
                  <c:v>1.2474000000000001</c:v>
                </c:pt>
                <c:pt idx="12">
                  <c:v>1.2078</c:v>
                </c:pt>
                <c:pt idx="13">
                  <c:v>1.1220000000000001</c:v>
                </c:pt>
                <c:pt idx="14">
                  <c:v>0.66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4A-4FA1-A849-795EA5E14A6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Лист1!$C$72:$C$75</c:f>
              <c:numCache>
                <c:formatCode>General</c:formatCode>
                <c:ptCount val="4"/>
                <c:pt idx="0">
                  <c:v>0</c:v>
                </c:pt>
                <c:pt idx="1">
                  <c:v>6.5933333333333337</c:v>
                </c:pt>
                <c:pt idx="2">
                  <c:v>6.6066666666666665</c:v>
                </c:pt>
                <c:pt idx="3">
                  <c:v>9.3333333333333339</c:v>
                </c:pt>
              </c:numCache>
            </c:numRef>
          </c:xVal>
          <c:yVal>
            <c:numRef>
              <c:f>Лист1!$B$72:$B$75</c:f>
              <c:numCache>
                <c:formatCode>General</c:formatCode>
                <c:ptCount val="4"/>
                <c:pt idx="0">
                  <c:v>0</c:v>
                </c:pt>
                <c:pt idx="1">
                  <c:v>0.98899999999999999</c:v>
                </c:pt>
                <c:pt idx="2">
                  <c:v>0.99099999999999999</c:v>
                </c:pt>
                <c:pt idx="3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4A-4FA1-A849-795EA5E14A6A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Лист1!$H$72</c:f>
              <c:numCache>
                <c:formatCode>General</c:formatCode>
                <c:ptCount val="1"/>
                <c:pt idx="0">
                  <c:v>6.6066659999999997</c:v>
                </c:pt>
              </c:numCache>
            </c:numRef>
          </c:xVal>
          <c:yVal>
            <c:numRef>
              <c:f>Лист1!$H$73</c:f>
              <c:numCache>
                <c:formatCode>General</c:formatCode>
                <c:ptCount val="1"/>
                <c:pt idx="0">
                  <c:v>0.99099999999999999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67-47B5-9468-2ED0B4069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9700959"/>
        <c:axId val="1029706719"/>
      </c:scatterChart>
      <c:valAx>
        <c:axId val="1029700959"/>
        <c:scaling>
          <c:orientation val="minMax"/>
          <c:max val="6.6099999999999994"/>
          <c:min val="6.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I,</a:t>
                </a:r>
                <a:r>
                  <a:rPr lang="en-US" baseline="0"/>
                  <a:t> 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7005081573822671"/>
              <c:y val="0.92571580900919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6719"/>
        <c:crosses val="autoZero"/>
        <c:crossBetween val="midCat"/>
      </c:valAx>
      <c:valAx>
        <c:axId val="1029706719"/>
        <c:scaling>
          <c:orientation val="minMax"/>
          <c:max val="0.998"/>
          <c:min val="0.984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U,B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1.5334097381902094E-3"/>
              <c:y val="1.5128681146962778E-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970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291399</xdr:colOff>
      <xdr:row>2</xdr:row>
      <xdr:rowOff>158575</xdr:rowOff>
    </xdr:from>
    <xdr:to>
      <xdr:col>16</xdr:col>
      <xdr:colOff>536464</xdr:colOff>
      <xdr:row>18</xdr:row>
      <xdr:rowOff>142328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29DD3B5-51C2-F672-12C6-DD91D0779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83343</xdr:colOff>
      <xdr:row>50</xdr:row>
      <xdr:rowOff>130968</xdr:rowOff>
    </xdr:from>
    <xdr:to>
      <xdr:col>18</xdr:col>
      <xdr:colOff>328408</xdr:colOff>
      <xdr:row>66</xdr:row>
      <xdr:rowOff>114721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C5ABDDE-4577-44DD-9A0D-91C46AFE6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259DC-803D-47F2-A1BC-4A4FC2CBB4D0}">
  <dimension ref="A1:P75"/>
  <sheetViews>
    <sheetView tabSelected="1" topLeftCell="A82" zoomScale="80" zoomScaleNormal="80" workbookViewId="0">
      <selection activeCell="C26" sqref="C26"/>
    </sheetView>
  </sheetViews>
  <sheetFormatPr defaultColWidth="8.85546875" defaultRowHeight="18.75" x14ac:dyDescent="0.3"/>
  <cols>
    <col min="1" max="1" width="14.28515625" style="1" customWidth="1"/>
    <col min="2" max="2" width="26.5703125" style="1" customWidth="1"/>
    <col min="3" max="3" width="34.85546875" style="1" customWidth="1"/>
    <col min="4" max="6" width="8.85546875" style="1"/>
    <col min="7" max="7" width="24.7109375" style="1" customWidth="1"/>
    <col min="8" max="8" width="8.85546875" style="1"/>
    <col min="9" max="9" width="13.5703125" style="1" customWidth="1"/>
    <col min="10" max="16384" width="8.85546875" style="1"/>
  </cols>
  <sheetData>
    <row r="1" spans="1:3" x14ac:dyDescent="0.3">
      <c r="A1" s="1" t="s">
        <v>3</v>
      </c>
      <c r="B1" s="1">
        <v>1.2549920000000001</v>
      </c>
    </row>
    <row r="2" spans="1:3" x14ac:dyDescent="0.3">
      <c r="A2" s="1" t="s">
        <v>5</v>
      </c>
      <c r="B2" s="4">
        <v>6.6</v>
      </c>
    </row>
    <row r="4" spans="1:3" x14ac:dyDescent="0.3">
      <c r="A4" s="1" t="s">
        <v>0</v>
      </c>
      <c r="B4" s="1" t="s">
        <v>1</v>
      </c>
      <c r="C4" s="1" t="s">
        <v>2</v>
      </c>
    </row>
    <row r="5" spans="1:3" x14ac:dyDescent="0.3">
      <c r="A5" s="3" t="s">
        <v>4</v>
      </c>
      <c r="B5" s="1">
        <f>B1</f>
        <v>1.2549920000000001</v>
      </c>
      <c r="C5" s="1">
        <v>0</v>
      </c>
    </row>
    <row r="6" spans="1:3" x14ac:dyDescent="0.3">
      <c r="A6" s="2">
        <v>1000000</v>
      </c>
      <c r="B6" s="1">
        <v>1.2549220000000001</v>
      </c>
      <c r="C6" s="5">
        <f t="shared" ref="C6:C19" si="0">B6/A6</f>
        <v>1.254922E-6</v>
      </c>
    </row>
    <row r="7" spans="1:3" x14ac:dyDescent="0.3">
      <c r="A7" s="1">
        <v>1000</v>
      </c>
      <c r="B7" s="1">
        <v>1.254921</v>
      </c>
      <c r="C7" s="1">
        <f t="shared" si="0"/>
        <v>1.254921E-3</v>
      </c>
    </row>
    <row r="8" spans="1:3" x14ac:dyDescent="0.3">
      <c r="A8" s="1">
        <v>100</v>
      </c>
      <c r="B8" s="1">
        <v>1.2549170000000001</v>
      </c>
      <c r="C8" s="1">
        <f t="shared" si="0"/>
        <v>1.254917E-2</v>
      </c>
    </row>
    <row r="9" spans="1:3" x14ac:dyDescent="0.3">
      <c r="A9" s="1">
        <v>10</v>
      </c>
      <c r="B9" s="1">
        <v>1.254872</v>
      </c>
      <c r="C9" s="1">
        <f t="shared" si="0"/>
        <v>0.12548719999999999</v>
      </c>
    </row>
    <row r="10" spans="1:3" x14ac:dyDescent="0.3">
      <c r="A10" s="1">
        <v>1</v>
      </c>
      <c r="B10" s="1">
        <v>1.2544200000000001</v>
      </c>
      <c r="C10" s="1">
        <f t="shared" si="0"/>
        <v>1.2544200000000001</v>
      </c>
    </row>
    <row r="11" spans="1:3" x14ac:dyDescent="0.3">
      <c r="A11" s="1">
        <v>0.3</v>
      </c>
      <c r="B11" s="1">
        <v>1.2532509999999999</v>
      </c>
      <c r="C11" s="1">
        <f t="shared" si="0"/>
        <v>4.1775033333333331</v>
      </c>
    </row>
    <row r="12" spans="1:3" x14ac:dyDescent="0.3">
      <c r="A12" s="1">
        <v>0.22600000000000001</v>
      </c>
      <c r="B12" s="1">
        <v>1.252705</v>
      </c>
      <c r="C12" s="1">
        <f t="shared" si="0"/>
        <v>5.5429424778761058</v>
      </c>
    </row>
    <row r="13" spans="1:3" x14ac:dyDescent="0.3">
      <c r="A13" s="1">
        <v>0.19600000000000001</v>
      </c>
      <c r="B13" s="1">
        <v>1.2523660000000001</v>
      </c>
      <c r="C13" s="1">
        <f t="shared" si="0"/>
        <v>6.3896224489795923</v>
      </c>
    </row>
    <row r="14" spans="1:3" x14ac:dyDescent="0.3">
      <c r="A14" s="1">
        <v>0.192</v>
      </c>
      <c r="B14" s="1">
        <v>1.252313</v>
      </c>
      <c r="C14" s="1">
        <f t="shared" si="0"/>
        <v>6.5224635416666663</v>
      </c>
    </row>
    <row r="15" spans="1:3" x14ac:dyDescent="0.3">
      <c r="A15" s="1">
        <v>0.19</v>
      </c>
      <c r="B15" s="1">
        <v>1.252286</v>
      </c>
      <c r="C15" s="1">
        <f t="shared" si="0"/>
        <v>6.5909789473684208</v>
      </c>
    </row>
    <row r="16" spans="1:3" x14ac:dyDescent="0.3">
      <c r="A16" s="1">
        <v>0.189</v>
      </c>
      <c r="B16" s="1">
        <v>1.2474000000000001</v>
      </c>
      <c r="C16" s="4">
        <f t="shared" si="0"/>
        <v>6.6000000000000005</v>
      </c>
    </row>
    <row r="17" spans="1:12" x14ac:dyDescent="0.3">
      <c r="A17" s="1">
        <v>0.183</v>
      </c>
      <c r="B17" s="1">
        <v>1.2078</v>
      </c>
      <c r="C17" s="1">
        <f t="shared" si="0"/>
        <v>6.6</v>
      </c>
    </row>
    <row r="18" spans="1:12" x14ac:dyDescent="0.3">
      <c r="A18" s="1">
        <v>0.17</v>
      </c>
      <c r="B18" s="1">
        <v>1.1220000000000001</v>
      </c>
      <c r="C18" s="1">
        <f t="shared" si="0"/>
        <v>6.6000000000000005</v>
      </c>
    </row>
    <row r="19" spans="1:12" x14ac:dyDescent="0.3">
      <c r="A19" s="1">
        <v>0.1</v>
      </c>
      <c r="B19" s="1">
        <v>0.66</v>
      </c>
      <c r="C19" s="1">
        <f t="shared" si="0"/>
        <v>6.6</v>
      </c>
    </row>
    <row r="20" spans="1:12" x14ac:dyDescent="0.3">
      <c r="A20" s="1">
        <v>0</v>
      </c>
      <c r="B20" s="1">
        <v>0</v>
      </c>
      <c r="C20" s="1">
        <v>6.6</v>
      </c>
    </row>
    <row r="24" spans="1:12" ht="20.25" x14ac:dyDescent="0.35">
      <c r="B24" s="1">
        <v>0</v>
      </c>
      <c r="C24" s="1">
        <v>0</v>
      </c>
      <c r="F24" s="1" t="s">
        <v>6</v>
      </c>
      <c r="G24" s="1">
        <f>-(B15-B14)/(C15-C14)</f>
        <v>3.9407195686075959E-4</v>
      </c>
      <c r="I24" s="4">
        <v>3.9399999999999998E-4</v>
      </c>
      <c r="J24" s="1" t="s">
        <v>8</v>
      </c>
      <c r="K24" s="1">
        <v>394</v>
      </c>
      <c r="L24" s="1" t="s">
        <v>10</v>
      </c>
    </row>
    <row r="25" spans="1:12" ht="20.25" x14ac:dyDescent="0.35">
      <c r="B25" s="1">
        <v>1.4</v>
      </c>
      <c r="C25" s="1">
        <f>B25/F29</f>
        <v>9.3333333333333339</v>
      </c>
      <c r="F25" s="1" t="s">
        <v>7</v>
      </c>
      <c r="G25" s="1">
        <f>-(B15-B16  )/(C15-C16 )</f>
        <v>0.54162193698944661</v>
      </c>
      <c r="I25" s="1">
        <v>0.54116200000000003</v>
      </c>
      <c r="J25" s="1" t="s">
        <v>8</v>
      </c>
    </row>
    <row r="29" spans="1:12" x14ac:dyDescent="0.3">
      <c r="E29" s="1" t="s">
        <v>9</v>
      </c>
      <c r="F29" s="1">
        <v>0.15</v>
      </c>
      <c r="G29" s="1" t="s">
        <v>8</v>
      </c>
    </row>
    <row r="40" spans="14:16" x14ac:dyDescent="0.3">
      <c r="N40" s="1" t="s">
        <v>12</v>
      </c>
      <c r="O40" s="1">
        <v>0.15</v>
      </c>
      <c r="P40" s="1" t="s">
        <v>11</v>
      </c>
    </row>
    <row r="72" spans="2:10" x14ac:dyDescent="0.3">
      <c r="B72" s="1">
        <v>0</v>
      </c>
      <c r="C72" s="1">
        <v>0</v>
      </c>
      <c r="G72" s="1" t="s">
        <v>13</v>
      </c>
      <c r="H72" s="1">
        <v>6.6066659999999997</v>
      </c>
      <c r="I72" s="1" t="s">
        <v>15</v>
      </c>
      <c r="J72" s="1">
        <f>J73/O40</f>
        <v>6.6000000000000005</v>
      </c>
    </row>
    <row r="73" spans="2:10" x14ac:dyDescent="0.3">
      <c r="B73" s="1">
        <v>0.98899999999999999</v>
      </c>
      <c r="C73" s="1">
        <f>B73/O40</f>
        <v>6.5933333333333337</v>
      </c>
      <c r="G73" s="1" t="s">
        <v>14</v>
      </c>
      <c r="H73" s="1">
        <v>0.99099999999999999</v>
      </c>
      <c r="I73" s="1" t="s">
        <v>16</v>
      </c>
      <c r="J73" s="1">
        <v>0.99</v>
      </c>
    </row>
    <row r="74" spans="2:10" x14ac:dyDescent="0.3">
      <c r="B74" s="1">
        <v>0.99099999999999999</v>
      </c>
      <c r="C74" s="1">
        <f>B74/O40</f>
        <v>6.6066666666666665</v>
      </c>
    </row>
    <row r="75" spans="2:10" x14ac:dyDescent="0.3">
      <c r="B75" s="1">
        <v>1.4</v>
      </c>
      <c r="C75" s="1">
        <f>B75/O40</f>
        <v>9.3333333333333339</v>
      </c>
    </row>
  </sheetData>
  <sortState ref="A5:C20">
    <sortCondition descending="1" ref="A5:A20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Evita Kud</cp:lastModifiedBy>
  <dcterms:created xsi:type="dcterms:W3CDTF">2024-10-24T17:42:35Z</dcterms:created>
  <dcterms:modified xsi:type="dcterms:W3CDTF">2024-11-08T14:10:23Z</dcterms:modified>
</cp:coreProperties>
</file>