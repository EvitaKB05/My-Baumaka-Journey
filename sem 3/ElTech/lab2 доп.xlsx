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AFC6C2D6-A5F3-458C-8EDC-F1948ECBE64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1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M24" i="1"/>
  <c r="M25" i="1"/>
  <c r="M26" i="1"/>
  <c r="M28" i="1"/>
  <c r="M29" i="1"/>
  <c r="H25" i="1"/>
  <c r="H26" i="1"/>
  <c r="H27" i="1"/>
  <c r="H2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C28" i="1"/>
  <c r="D28" i="1"/>
  <c r="C27" i="1"/>
  <c r="D27" i="1"/>
  <c r="C26" i="1"/>
  <c r="D26" i="1"/>
  <c r="M31" i="1" l="1"/>
  <c r="M23" i="1"/>
  <c r="M30" i="1"/>
  <c r="M27" i="1"/>
  <c r="M22" i="1"/>
  <c r="M21" i="1"/>
  <c r="D5" i="1"/>
  <c r="D2" i="1"/>
  <c r="L2" i="1" s="1"/>
  <c r="D3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9" i="1"/>
  <c r="D30" i="1"/>
  <c r="D3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9" i="1"/>
  <c r="C30" i="1"/>
  <c r="C31" i="1"/>
  <c r="M2" i="1" l="1"/>
</calcChain>
</file>

<file path=xl/sharedStrings.xml><?xml version="1.0" encoding="utf-8"?>
<sst xmlns="http://schemas.openxmlformats.org/spreadsheetml/2006/main" count="11" uniqueCount="11">
  <si>
    <t>R</t>
  </si>
  <si>
    <t>r</t>
  </si>
  <si>
    <t>R + r</t>
  </si>
  <si>
    <t>R - r</t>
  </si>
  <si>
    <t>U0, B</t>
  </si>
  <si>
    <t>I0, А</t>
  </si>
  <si>
    <t>U1, B</t>
  </si>
  <si>
    <t>I1, А</t>
  </si>
  <si>
    <t>U2, B</t>
  </si>
  <si>
    <t>I2, А</t>
  </si>
  <si>
    <t>Rвых, 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</si>
</sst>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#,##0.000000"/>
    <numFmt numFmtId="166" formatCode="0.0"/>
    <numFmt numFmtId="167" formatCode="0.0000"/>
    <numFmt numFmtId="168" formatCode="0.000000000"/>
    <numFmt numFmtId="169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Лист1!$H$2:$H$31</c:f>
              <c:numCache>
                <c:formatCode>General</c:formatCode>
                <c:ptCount val="30"/>
                <c:pt idx="0">
                  <c:v>1.254917E-2</c:v>
                </c:pt>
                <c:pt idx="1">
                  <c:v>0.12548719999999999</c:v>
                </c:pt>
                <c:pt idx="2">
                  <c:v>0.25096400000000002</c:v>
                </c:pt>
                <c:pt idx="3">
                  <c:v>0.41825000000000001</c:v>
                </c:pt>
                <c:pt idx="4">
                  <c:v>0.62733499999999998</c:v>
                </c:pt>
                <c:pt idx="5">
                  <c:v>0.83639333299999996</c:v>
                </c:pt>
                <c:pt idx="6">
                  <c:v>1.2544200000000001</c:v>
                </c:pt>
                <c:pt idx="7">
                  <c:v>1.3937333329999999</c:v>
                </c:pt>
                <c:pt idx="8">
                  <c:v>1.5678624999999999</c:v>
                </c:pt>
                <c:pt idx="9">
                  <c:v>1.7917285709999999</c:v>
                </c:pt>
                <c:pt idx="10">
                  <c:v>2.09015</c:v>
                </c:pt>
                <c:pt idx="11">
                  <c:v>2.5078399999999998</c:v>
                </c:pt>
                <c:pt idx="12">
                  <c:v>3.1341749999999999</c:v>
                </c:pt>
                <c:pt idx="13">
                  <c:v>4.1775033329999998</c:v>
                </c:pt>
                <c:pt idx="14">
                  <c:v>5.5429424779999996</c:v>
                </c:pt>
                <c:pt idx="15">
                  <c:v>6.389622449</c:v>
                </c:pt>
                <c:pt idx="16">
                  <c:v>6.5224635419999997</c:v>
                </c:pt>
                <c:pt idx="17">
                  <c:v>6.590978947</c:v>
                </c:pt>
                <c:pt idx="18">
                  <c:v>6.5999470999999996</c:v>
                </c:pt>
                <c:pt idx="19">
                  <c:v>6.599945355</c:v>
                </c:pt>
                <c:pt idx="20">
                  <c:v>6.6001117320000002</c:v>
                </c:pt>
                <c:pt idx="21">
                  <c:v>6.6001714290000004</c:v>
                </c:pt>
                <c:pt idx="22">
                  <c:v>6.6000581399999998</c:v>
                </c:pt>
                <c:pt idx="23" formatCode="0.0">
                  <c:v>6.6000000000000005</c:v>
                </c:pt>
                <c:pt idx="24">
                  <c:v>6.6000624999999991</c:v>
                </c:pt>
                <c:pt idx="25">
                  <c:v>6.6001142857142847</c:v>
                </c:pt>
                <c:pt idx="26">
                  <c:v>6.6000615384615378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</c:numCache>
            </c:numRef>
          </c:xVal>
          <c:yVal>
            <c:numRef>
              <c:f>Лист1!$M$2:$M$31</c:f>
              <c:numCache>
                <c:formatCode>General</c:formatCode>
                <c:ptCount val="30"/>
                <c:pt idx="0">
                  <c:v>0</c:v>
                </c:pt>
                <c:pt idx="1">
                  <c:v>3.8254022649631103E-4</c:v>
                </c:pt>
                <c:pt idx="2">
                  <c:v>4.1843505290209984E-4</c:v>
                </c:pt>
                <c:pt idx="3">
                  <c:v>3.9894729989883344E-4</c:v>
                </c:pt>
                <c:pt idx="4">
                  <c:v>3.6364409380616823E-4</c:v>
                </c:pt>
                <c:pt idx="5">
                  <c:v>3.7133079135593175E-4</c:v>
                </c:pt>
                <c:pt idx="6">
                  <c:v>4.3425727650127382E-4</c:v>
                </c:pt>
                <c:pt idx="7">
                  <c:v>3.8641910322022896E-4</c:v>
                </c:pt>
                <c:pt idx="8">
                  <c:v>4.0681210864204007E-4</c:v>
                </c:pt>
                <c:pt idx="9">
                  <c:v>3.889110490625815E-4</c:v>
                </c:pt>
                <c:pt idx="10">
                  <c:v>3.9936484631842504E-4</c:v>
                </c:pt>
                <c:pt idx="11">
                  <c:v>3.9890815056068996E-4</c:v>
                </c:pt>
                <c:pt idx="12">
                  <c:v>3.8318436044088418E-4</c:v>
                </c:pt>
                <c:pt idx="13">
                  <c:v>0.45382985405135645</c:v>
                </c:pt>
                <c:pt idx="14">
                  <c:v>4.0843223185479862E-4</c:v>
                </c:pt>
                <c:pt idx="15">
                  <c:v>4.6119214838786777E-4</c:v>
                </c:pt>
                <c:pt idx="16">
                  <c:v>4.4255603532759185E-4</c:v>
                </c:pt>
                <c:pt idx="17">
                  <c:v>2.0846651594289987</c:v>
                </c:pt>
                <c:pt idx="18">
                  <c:v>-0.32894324239574357</c:v>
                </c:pt>
                <c:pt idx="19" formatCode="0.0000">
                  <c:v>1.9965694396333979</c:v>
                </c:pt>
                <c:pt idx="20" formatCode="0.000000000">
                  <c:v>-0.39933345822774491</c:v>
                </c:pt>
                <c:pt idx="21">
                  <c:v>-0.35581441209870984</c:v>
                </c:pt>
                <c:pt idx="22" formatCode="0.00000">
                  <c:v>0</c:v>
                </c:pt>
                <c:pt idx="23">
                  <c:v>0</c:v>
                </c:pt>
                <c:pt idx="24" formatCode="0.00000">
                  <c:v>0</c:v>
                </c:pt>
                <c:pt idx="25">
                  <c:v>0</c:v>
                </c:pt>
                <c:pt idx="26">
                  <c:v>0</c:v>
                </c:pt>
                <c:pt idx="27" formatCode="0.0">
                  <c:v>0</c:v>
                </c:pt>
                <c:pt idx="28">
                  <c:v>1.5477996965098614E-3</c:v>
                </c:pt>
                <c:pt idx="29" formatCode="0.0">
                  <c:v>1319.9999999327315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F-40FA-99B1-63A714234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241007"/>
        <c:axId val="1599868367"/>
      </c:scatterChart>
      <c:valAx>
        <c:axId val="159724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868367"/>
        <c:crosses val="autoZero"/>
        <c:crossBetween val="midCat"/>
      </c:valAx>
      <c:valAx>
        <c:axId val="15998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24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56373</xdr:colOff>
      <xdr:row>34</xdr:row>
      <xdr:rowOff>193220</xdr:rowOff>
    </xdr:from>
    <xdr:to>
      <xdr:col>11</xdr:col>
      <xdr:colOff>204107</xdr:colOff>
      <xdr:row>58</xdr:row>
      <xdr:rowOff>87474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30B3F1-EC69-4551-9BE8-B32300635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27" zoomScale="98" zoomScaleNormal="98" workbookViewId="0">
      <selection activeCell="G32" sqref="G1:M32"/>
    </sheetView>
  </sheetViews>
  <sheetFormatPr defaultRowHeight="15" x14ac:dyDescent="0.25"/>
  <cols>
    <col min="1" max="1" width="11.28515625" customWidth="1"/>
    <col min="2" max="2" width="13.140625" customWidth="1"/>
    <col min="3" max="3" width="11.28515625" customWidth="1"/>
    <col min="4" max="4" width="10.7109375" customWidth="1"/>
    <col min="7" max="7" width="11.7109375" customWidth="1"/>
    <col min="8" max="8" width="13.7109375" customWidth="1"/>
    <col min="9" max="9" width="11.85546875" customWidth="1"/>
    <col min="10" max="10" width="15.28515625" customWidth="1"/>
    <col min="11" max="11" width="13.85546875" customWidth="1"/>
    <col min="12" max="12" width="11.85546875" bestFit="1" customWidth="1"/>
    <col min="13" max="13" width="2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100</v>
      </c>
      <c r="B2">
        <v>25</v>
      </c>
      <c r="C2" s="1">
        <f t="shared" ref="C2:C31" si="0">A2+B2</f>
        <v>125</v>
      </c>
      <c r="D2" s="1">
        <f t="shared" ref="D2:D31" si="1">A2-B2</f>
        <v>75</v>
      </c>
      <c r="G2">
        <v>1.2549170000000001</v>
      </c>
      <c r="H2">
        <v>1.254917E-2</v>
      </c>
      <c r="I2">
        <v>1.25492</v>
      </c>
      <c r="J2">
        <f>I2/C2</f>
        <v>1.0039360000000001E-2</v>
      </c>
      <c r="K2">
        <v>1.25492</v>
      </c>
      <c r="L2">
        <f>K2/D2</f>
        <v>1.6732266666666665E-2</v>
      </c>
      <c r="M2">
        <f t="shared" ref="M2:M31" si="2" xml:space="preserve"> -(K2-I2)/(L2-J2)</f>
        <v>0</v>
      </c>
    </row>
    <row r="3" spans="1:13" x14ac:dyDescent="0.25">
      <c r="A3">
        <v>10</v>
      </c>
      <c r="B3">
        <v>6</v>
      </c>
      <c r="C3" s="1">
        <f t="shared" si="0"/>
        <v>16</v>
      </c>
      <c r="D3" s="1">
        <f t="shared" si="1"/>
        <v>4</v>
      </c>
      <c r="G3" s="3">
        <v>1.254872</v>
      </c>
      <c r="H3">
        <v>0.12548719999999999</v>
      </c>
      <c r="I3">
        <v>1.2548900000000001</v>
      </c>
      <c r="J3">
        <f t="shared" ref="J3:J31" si="3">I3/C3</f>
        <v>7.8430625000000004E-2</v>
      </c>
      <c r="K3">
        <v>1.2547999999999999</v>
      </c>
      <c r="L3">
        <f t="shared" ref="L3:L31" si="4">K3/D3</f>
        <v>0.31369999999999998</v>
      </c>
      <c r="M3">
        <f t="shared" si="2"/>
        <v>3.8254022649631103E-4</v>
      </c>
    </row>
    <row r="4" spans="1:13" x14ac:dyDescent="0.25">
      <c r="A4">
        <v>5</v>
      </c>
      <c r="B4">
        <v>2</v>
      </c>
      <c r="C4" s="1">
        <f t="shared" si="0"/>
        <v>7</v>
      </c>
      <c r="D4" s="1">
        <f t="shared" si="1"/>
        <v>3</v>
      </c>
      <c r="G4">
        <v>1.25482</v>
      </c>
      <c r="H4">
        <v>0.25096400000000002</v>
      </c>
      <c r="I4">
        <v>1.25485</v>
      </c>
      <c r="J4">
        <f t="shared" si="3"/>
        <v>0.17926428571428571</v>
      </c>
      <c r="K4">
        <v>1.25475</v>
      </c>
      <c r="L4">
        <f t="shared" si="4"/>
        <v>0.41825000000000001</v>
      </c>
      <c r="M4">
        <f t="shared" si="2"/>
        <v>4.1843505290209984E-4</v>
      </c>
    </row>
    <row r="5" spans="1:13" x14ac:dyDescent="0.25">
      <c r="A5">
        <v>3</v>
      </c>
      <c r="B5">
        <v>0.9</v>
      </c>
      <c r="C5" s="2">
        <f t="shared" si="0"/>
        <v>3.9</v>
      </c>
      <c r="D5" s="2">
        <f>A5-B5</f>
        <v>2.1</v>
      </c>
      <c r="G5">
        <v>1.25475</v>
      </c>
      <c r="H5">
        <v>0.41825000000000001</v>
      </c>
      <c r="I5">
        <v>1.2547900000000001</v>
      </c>
      <c r="J5">
        <f t="shared" si="3"/>
        <v>0.32174102564102569</v>
      </c>
      <c r="K5">
        <v>1.25468</v>
      </c>
      <c r="L5">
        <f t="shared" si="4"/>
        <v>0.5974666666666667</v>
      </c>
      <c r="M5">
        <f t="shared" si="2"/>
        <v>3.9894729989883344E-4</v>
      </c>
    </row>
    <row r="6" spans="1:13" x14ac:dyDescent="0.25">
      <c r="A6">
        <v>2</v>
      </c>
      <c r="B6">
        <v>0.3</v>
      </c>
      <c r="C6" s="2">
        <f t="shared" si="0"/>
        <v>2.2999999999999998</v>
      </c>
      <c r="D6" s="2">
        <f t="shared" si="1"/>
        <v>1.7</v>
      </c>
      <c r="G6">
        <v>1.25467</v>
      </c>
      <c r="H6">
        <v>0.62733499999999998</v>
      </c>
      <c r="I6">
        <v>1.2546999999999999</v>
      </c>
      <c r="J6">
        <f t="shared" si="3"/>
        <v>0.54552173913043478</v>
      </c>
      <c r="K6">
        <v>1.2546299999999999</v>
      </c>
      <c r="L6">
        <f t="shared" si="4"/>
        <v>0.73801764705882344</v>
      </c>
      <c r="M6">
        <f t="shared" si="2"/>
        <v>3.6364409380616823E-4</v>
      </c>
    </row>
    <row r="7" spans="1:13" x14ac:dyDescent="0.25">
      <c r="A7">
        <v>1.5</v>
      </c>
      <c r="B7">
        <v>0.12</v>
      </c>
      <c r="C7" s="2">
        <f t="shared" si="0"/>
        <v>1.62</v>
      </c>
      <c r="D7" s="2">
        <f t="shared" si="1"/>
        <v>1.38</v>
      </c>
      <c r="G7">
        <v>1.2545900000000001</v>
      </c>
      <c r="H7">
        <v>0.83639333299999996</v>
      </c>
      <c r="I7">
        <v>1.25461</v>
      </c>
      <c r="J7">
        <f t="shared" si="3"/>
        <v>0.77445061728395059</v>
      </c>
      <c r="K7">
        <v>1.2545599999999999</v>
      </c>
      <c r="L7">
        <f t="shared" si="4"/>
        <v>0.90910144927536229</v>
      </c>
      <c r="M7">
        <f t="shared" si="2"/>
        <v>3.7133079135593175E-4</v>
      </c>
    </row>
    <row r="8" spans="1:13" x14ac:dyDescent="0.25">
      <c r="A8">
        <v>1</v>
      </c>
      <c r="B8">
        <v>0.1</v>
      </c>
      <c r="C8" s="2">
        <f t="shared" si="0"/>
        <v>1.1000000000000001</v>
      </c>
      <c r="D8" s="2">
        <f t="shared" si="1"/>
        <v>0.9</v>
      </c>
      <c r="G8">
        <v>1.2544200000000001</v>
      </c>
      <c r="H8">
        <v>1.2544200000000001</v>
      </c>
      <c r="I8">
        <v>1.25447</v>
      </c>
      <c r="J8">
        <f t="shared" si="3"/>
        <v>1.1404272727272726</v>
      </c>
      <c r="K8">
        <v>1.2543599999999999</v>
      </c>
      <c r="L8">
        <f t="shared" si="4"/>
        <v>1.3937333333333333</v>
      </c>
      <c r="M8">
        <f t="shared" si="2"/>
        <v>4.3425727650127382E-4</v>
      </c>
    </row>
    <row r="9" spans="1:13" x14ac:dyDescent="0.25">
      <c r="A9">
        <v>0.9</v>
      </c>
      <c r="B9">
        <v>0.05</v>
      </c>
      <c r="C9" s="2">
        <f t="shared" si="0"/>
        <v>0.95000000000000007</v>
      </c>
      <c r="D9" s="2">
        <f t="shared" si="1"/>
        <v>0.85</v>
      </c>
      <c r="G9">
        <v>1.2543599999999999</v>
      </c>
      <c r="H9">
        <v>1.3937333329999999</v>
      </c>
      <c r="I9">
        <v>1.2543899999999999</v>
      </c>
      <c r="J9">
        <f t="shared" si="3"/>
        <v>1.3204105263157893</v>
      </c>
      <c r="K9">
        <v>1.2543299999999999</v>
      </c>
      <c r="L9">
        <f t="shared" si="4"/>
        <v>1.4756823529411764</v>
      </c>
      <c r="M9">
        <f t="shared" si="2"/>
        <v>3.8641910322022896E-4</v>
      </c>
    </row>
    <row r="10" spans="1:13" x14ac:dyDescent="0.25">
      <c r="A10">
        <v>0.8</v>
      </c>
      <c r="B10">
        <v>0.05</v>
      </c>
      <c r="C10" s="2">
        <f t="shared" si="0"/>
        <v>0.85000000000000009</v>
      </c>
      <c r="D10" s="2">
        <f t="shared" si="1"/>
        <v>0.75</v>
      </c>
      <c r="G10">
        <v>1.2542899999999999</v>
      </c>
      <c r="H10">
        <v>1.5678624999999999</v>
      </c>
      <c r="I10">
        <v>1.2543299999999999</v>
      </c>
      <c r="J10">
        <f t="shared" si="3"/>
        <v>1.4756823529411762</v>
      </c>
      <c r="K10">
        <v>1.2542500000000001</v>
      </c>
      <c r="L10">
        <f t="shared" si="4"/>
        <v>1.6723333333333334</v>
      </c>
      <c r="M10">
        <f t="shared" si="2"/>
        <v>4.0681210864204007E-4</v>
      </c>
    </row>
    <row r="11" spans="1:13" x14ac:dyDescent="0.25">
      <c r="A11">
        <v>0.7</v>
      </c>
      <c r="B11">
        <v>0.05</v>
      </c>
      <c r="C11" s="2">
        <f t="shared" si="0"/>
        <v>0.75</v>
      </c>
      <c r="D11" s="2">
        <f t="shared" si="1"/>
        <v>0.64999999999999991</v>
      </c>
      <c r="G11">
        <v>1.25421</v>
      </c>
      <c r="H11">
        <v>1.7917285709999999</v>
      </c>
      <c r="I11">
        <v>1.2542500000000001</v>
      </c>
      <c r="J11">
        <f t="shared" si="3"/>
        <v>1.6723333333333334</v>
      </c>
      <c r="K11">
        <v>1.2541500000000001</v>
      </c>
      <c r="L11">
        <f t="shared" si="4"/>
        <v>1.9294615384615388</v>
      </c>
      <c r="M11">
        <f t="shared" si="2"/>
        <v>3.889110490625815E-4</v>
      </c>
    </row>
    <row r="12" spans="1:13" x14ac:dyDescent="0.25">
      <c r="A12">
        <v>0.6</v>
      </c>
      <c r="B12">
        <v>0.05</v>
      </c>
      <c r="C12" s="2">
        <f t="shared" si="0"/>
        <v>0.65</v>
      </c>
      <c r="D12" s="2">
        <f t="shared" si="1"/>
        <v>0.54999999999999993</v>
      </c>
      <c r="G12">
        <v>1.2540899999999999</v>
      </c>
      <c r="H12">
        <v>2.09015</v>
      </c>
      <c r="I12">
        <v>1.2541500000000001</v>
      </c>
      <c r="J12">
        <f t="shared" si="3"/>
        <v>1.9294615384615386</v>
      </c>
      <c r="K12">
        <v>1.2540100000000001</v>
      </c>
      <c r="L12">
        <f t="shared" si="4"/>
        <v>2.2800181818181824</v>
      </c>
      <c r="M12">
        <f t="shared" si="2"/>
        <v>3.9936484631842504E-4</v>
      </c>
    </row>
    <row r="13" spans="1:13" x14ac:dyDescent="0.25">
      <c r="A13">
        <v>0.5</v>
      </c>
      <c r="B13">
        <v>0.01</v>
      </c>
      <c r="C13" s="2">
        <f t="shared" si="0"/>
        <v>0.51</v>
      </c>
      <c r="D13" s="2">
        <f t="shared" si="1"/>
        <v>0.49</v>
      </c>
      <c r="G13">
        <v>1.2539199999999999</v>
      </c>
      <c r="H13">
        <v>2.5078399999999998</v>
      </c>
      <c r="I13">
        <v>1.2539400000000001</v>
      </c>
      <c r="J13">
        <f t="shared" si="3"/>
        <v>2.4587058823529411</v>
      </c>
      <c r="K13">
        <v>1.2539</v>
      </c>
      <c r="L13">
        <f t="shared" si="4"/>
        <v>2.5589795918367346</v>
      </c>
      <c r="M13">
        <f t="shared" si="2"/>
        <v>3.9890815056068996E-4</v>
      </c>
    </row>
    <row r="14" spans="1:13" x14ac:dyDescent="0.25">
      <c r="A14">
        <v>0.4</v>
      </c>
      <c r="B14">
        <v>5.0000000000000001E-3</v>
      </c>
      <c r="C14" s="2">
        <f t="shared" si="0"/>
        <v>0.40500000000000003</v>
      </c>
      <c r="D14" s="2">
        <f t="shared" si="1"/>
        <v>0.39500000000000002</v>
      </c>
      <c r="G14">
        <v>1.2536700000000001</v>
      </c>
      <c r="H14">
        <v>3.1341749999999999</v>
      </c>
      <c r="I14">
        <v>1.2536799999999999</v>
      </c>
      <c r="J14">
        <f t="shared" si="3"/>
        <v>3.0955061728395057</v>
      </c>
      <c r="K14">
        <v>1.2536499999999999</v>
      </c>
      <c r="L14">
        <f t="shared" si="4"/>
        <v>3.1737974683544299</v>
      </c>
      <c r="M14">
        <f t="shared" si="2"/>
        <v>3.8318436044088418E-4</v>
      </c>
    </row>
    <row r="15" spans="1:13" x14ac:dyDescent="0.25">
      <c r="A15">
        <v>0.3</v>
      </c>
      <c r="B15">
        <v>2E-3</v>
      </c>
      <c r="C15" s="2">
        <f t="shared" si="0"/>
        <v>0.30199999999999999</v>
      </c>
      <c r="D15" s="2">
        <f t="shared" si="1"/>
        <v>0.29799999999999999</v>
      </c>
      <c r="G15">
        <v>1.2532509999999999</v>
      </c>
      <c r="H15">
        <v>4.1775033329999998</v>
      </c>
      <c r="I15">
        <v>1.25326</v>
      </c>
      <c r="J15">
        <f t="shared" si="3"/>
        <v>4.1498675496688744</v>
      </c>
      <c r="K15">
        <v>1.2432399999999999</v>
      </c>
      <c r="L15">
        <f t="shared" si="4"/>
        <v>4.1719463087248316</v>
      </c>
      <c r="M15">
        <f t="shared" si="2"/>
        <v>0.45382985405135645</v>
      </c>
    </row>
    <row r="16" spans="1:13" x14ac:dyDescent="0.25">
      <c r="A16">
        <v>0.22600000000000001</v>
      </c>
      <c r="B16">
        <v>2E-3</v>
      </c>
      <c r="C16" s="2">
        <f t="shared" si="0"/>
        <v>0.22800000000000001</v>
      </c>
      <c r="D16" s="2">
        <f t="shared" si="1"/>
        <v>0.224</v>
      </c>
      <c r="G16">
        <v>1.252705</v>
      </c>
      <c r="H16">
        <v>5.5429424779999996</v>
      </c>
      <c r="I16">
        <v>1.2527200000000001</v>
      </c>
      <c r="J16">
        <f t="shared" si="3"/>
        <v>5.494385964912281</v>
      </c>
      <c r="K16">
        <v>1.25268</v>
      </c>
      <c r="L16">
        <f t="shared" si="4"/>
        <v>5.5923214285714282</v>
      </c>
      <c r="M16">
        <f t="shared" si="2"/>
        <v>4.0843223185479862E-4</v>
      </c>
    </row>
    <row r="17" spans="1:13" x14ac:dyDescent="0.25">
      <c r="A17">
        <v>0.19600000000000001</v>
      </c>
      <c r="B17">
        <v>1E-3</v>
      </c>
      <c r="C17" s="2">
        <f t="shared" si="0"/>
        <v>0.19700000000000001</v>
      </c>
      <c r="D17" s="2">
        <f t="shared" si="1"/>
        <v>0.19500000000000001</v>
      </c>
      <c r="G17">
        <v>1.2523660000000001</v>
      </c>
      <c r="H17">
        <v>6.389622449</v>
      </c>
      <c r="I17">
        <v>1.25238</v>
      </c>
      <c r="J17">
        <f t="shared" si="3"/>
        <v>6.3572588832487309</v>
      </c>
      <c r="K17">
        <v>1.2523500000000001</v>
      </c>
      <c r="L17">
        <f t="shared" si="4"/>
        <v>6.4223076923076921</v>
      </c>
      <c r="M17">
        <f t="shared" si="2"/>
        <v>4.6119214838786777E-4</v>
      </c>
    </row>
    <row r="18" spans="1:13" x14ac:dyDescent="0.25">
      <c r="A18">
        <v>0.192</v>
      </c>
      <c r="B18">
        <v>1E-3</v>
      </c>
      <c r="C18" s="2">
        <f t="shared" si="0"/>
        <v>0.193</v>
      </c>
      <c r="D18" s="2">
        <f t="shared" si="1"/>
        <v>0.191</v>
      </c>
      <c r="G18">
        <v>1.252313</v>
      </c>
      <c r="H18">
        <v>6.5224635419999997</v>
      </c>
      <c r="I18">
        <v>1.2523299999999999</v>
      </c>
      <c r="J18">
        <f t="shared" si="3"/>
        <v>6.4887564766839372</v>
      </c>
      <c r="K18">
        <v>1.2523</v>
      </c>
      <c r="L18">
        <f t="shared" si="4"/>
        <v>6.5565445026178004</v>
      </c>
      <c r="M18">
        <f t="shared" si="2"/>
        <v>4.4255603532759185E-4</v>
      </c>
    </row>
    <row r="19" spans="1:13" x14ac:dyDescent="0.25">
      <c r="A19">
        <v>0.19</v>
      </c>
      <c r="B19">
        <v>1E-3</v>
      </c>
      <c r="C19" s="2">
        <f t="shared" si="0"/>
        <v>0.191</v>
      </c>
      <c r="D19" s="2">
        <f t="shared" si="1"/>
        <v>0.189</v>
      </c>
      <c r="G19">
        <v>1.252286</v>
      </c>
      <c r="H19">
        <v>6.590978947</v>
      </c>
      <c r="I19">
        <v>1.2523</v>
      </c>
      <c r="J19">
        <f t="shared" si="3"/>
        <v>6.5565445026178004</v>
      </c>
      <c r="K19">
        <v>1.2474000000000001</v>
      </c>
      <c r="L19">
        <v>6.5588949999999997</v>
      </c>
      <c r="M19">
        <f t="shared" si="2"/>
        <v>2.0846651594289987</v>
      </c>
    </row>
    <row r="20" spans="1:13" x14ac:dyDescent="0.25">
      <c r="A20">
        <v>0.189</v>
      </c>
      <c r="B20">
        <v>1E-3</v>
      </c>
      <c r="C20" s="2">
        <f t="shared" si="0"/>
        <v>0.19</v>
      </c>
      <c r="D20" s="2">
        <f t="shared" si="1"/>
        <v>0.188</v>
      </c>
      <c r="G20">
        <v>1.24739</v>
      </c>
      <c r="H20">
        <v>6.5999470999999996</v>
      </c>
      <c r="I20">
        <v>1.2522899999999999</v>
      </c>
      <c r="J20">
        <f t="shared" si="3"/>
        <v>6.5909999999999993</v>
      </c>
      <c r="K20">
        <v>1.2418</v>
      </c>
      <c r="L20">
        <v>6.5591100000000004</v>
      </c>
      <c r="M20">
        <f t="shared" si="2"/>
        <v>-0.32894324239574357</v>
      </c>
    </row>
    <row r="21" spans="1:13" x14ac:dyDescent="0.25">
      <c r="A21">
        <v>0.183</v>
      </c>
      <c r="B21">
        <v>1E-3</v>
      </c>
      <c r="C21" s="2">
        <f t="shared" si="0"/>
        <v>0.184</v>
      </c>
      <c r="D21" s="2">
        <f t="shared" si="1"/>
        <v>0.182</v>
      </c>
      <c r="G21">
        <v>1.2077899999999999</v>
      </c>
      <c r="H21">
        <v>6.599945355</v>
      </c>
      <c r="I21">
        <v>1.2103999999999999</v>
      </c>
      <c r="J21">
        <f t="shared" si="3"/>
        <v>6.5782608695652174</v>
      </c>
      <c r="K21">
        <v>1.2312000000000001</v>
      </c>
      <c r="L21">
        <v>6.5678429999999999</v>
      </c>
      <c r="M21" s="5">
        <f t="shared" si="2"/>
        <v>1.9965694396333979</v>
      </c>
    </row>
    <row r="22" spans="1:13" x14ac:dyDescent="0.25">
      <c r="A22">
        <v>0.17899999999999999</v>
      </c>
      <c r="B22">
        <v>1E-3</v>
      </c>
      <c r="C22" s="2">
        <f t="shared" si="0"/>
        <v>0.18</v>
      </c>
      <c r="D22" s="2">
        <f t="shared" si="1"/>
        <v>0.17799999999999999</v>
      </c>
      <c r="G22">
        <v>1.1814199999999999</v>
      </c>
      <c r="H22">
        <v>6.6001117320000002</v>
      </c>
      <c r="I22">
        <v>1.1875</v>
      </c>
      <c r="J22">
        <f t="shared" si="3"/>
        <v>6.5972222222222223</v>
      </c>
      <c r="K22">
        <v>1.1758</v>
      </c>
      <c r="L22">
        <v>6.5679233999999997</v>
      </c>
      <c r="M22" s="6">
        <f t="shared" si="2"/>
        <v>-0.39933345822774491</v>
      </c>
    </row>
    <row r="23" spans="1:13" x14ac:dyDescent="0.25">
      <c r="A23">
        <v>0.17499999999999999</v>
      </c>
      <c r="B23">
        <v>1E-3</v>
      </c>
      <c r="C23" s="2">
        <f t="shared" si="0"/>
        <v>0.17599999999999999</v>
      </c>
      <c r="D23" s="2">
        <f t="shared" si="1"/>
        <v>0.17399999999999999</v>
      </c>
      <c r="G23">
        <v>1.15503</v>
      </c>
      <c r="H23">
        <v>6.6001714290000004</v>
      </c>
      <c r="I23">
        <v>1.1617</v>
      </c>
      <c r="J23">
        <v>6.5973455999999997</v>
      </c>
      <c r="K23">
        <v>1.151235</v>
      </c>
      <c r="L23">
        <v>6.5679341999999998</v>
      </c>
      <c r="M23">
        <f t="shared" si="2"/>
        <v>-0.35581441209870984</v>
      </c>
    </row>
    <row r="24" spans="1:13" x14ac:dyDescent="0.25">
      <c r="A24">
        <v>0.17199999999999999</v>
      </c>
      <c r="B24">
        <v>1E-3</v>
      </c>
      <c r="C24" s="2">
        <f t="shared" si="0"/>
        <v>0.17299999999999999</v>
      </c>
      <c r="D24" s="2">
        <f t="shared" si="1"/>
        <v>0.17099999999999999</v>
      </c>
      <c r="G24">
        <v>1.1352100000000001</v>
      </c>
      <c r="H24">
        <v>6.6000581399999998</v>
      </c>
      <c r="I24">
        <v>1.1417999999999999</v>
      </c>
      <c r="K24">
        <v>1.1323449999999999</v>
      </c>
      <c r="M24" s="7" t="e">
        <f t="shared" si="2"/>
        <v>#DIV/0!</v>
      </c>
    </row>
    <row r="25" spans="1:13" x14ac:dyDescent="0.25">
      <c r="A25">
        <v>0.17</v>
      </c>
      <c r="B25">
        <v>1E-3</v>
      </c>
      <c r="C25" s="2">
        <f t="shared" si="0"/>
        <v>0.17100000000000001</v>
      </c>
      <c r="D25" s="2">
        <f t="shared" si="1"/>
        <v>0.16900000000000001</v>
      </c>
      <c r="G25">
        <v>1.1220000000000001</v>
      </c>
      <c r="H25" s="4">
        <f>G25/A25</f>
        <v>6.6000000000000005</v>
      </c>
      <c r="I25">
        <v>1.1286</v>
      </c>
      <c r="K25">
        <v>1.119213</v>
      </c>
      <c r="M25" t="e">
        <f t="shared" si="2"/>
        <v>#DIV/0!</v>
      </c>
    </row>
    <row r="26" spans="1:13" x14ac:dyDescent="0.25">
      <c r="A26">
        <v>0.16</v>
      </c>
      <c r="B26">
        <v>1E-3</v>
      </c>
      <c r="C26" s="2">
        <f t="shared" si="0"/>
        <v>0.161</v>
      </c>
      <c r="D26" s="2">
        <f t="shared" si="1"/>
        <v>0.159</v>
      </c>
      <c r="G26">
        <v>1.0560099999999999</v>
      </c>
      <c r="H26">
        <f>G26/A26</f>
        <v>6.6000624999999991</v>
      </c>
      <c r="I26">
        <v>1.0626</v>
      </c>
      <c r="K26">
        <v>1.05342</v>
      </c>
      <c r="M26" s="7" t="e">
        <f t="shared" si="2"/>
        <v>#DIV/0!</v>
      </c>
    </row>
    <row r="27" spans="1:13" x14ac:dyDescent="0.25">
      <c r="A27">
        <v>0.14000000000000001</v>
      </c>
      <c r="B27">
        <v>1E-3</v>
      </c>
      <c r="C27" s="2">
        <f t="shared" si="0"/>
        <v>0.14100000000000001</v>
      </c>
      <c r="D27" s="2">
        <f t="shared" si="1"/>
        <v>0.13900000000000001</v>
      </c>
      <c r="G27">
        <v>0.92401599999999995</v>
      </c>
      <c r="H27">
        <f t="shared" ref="H27:H28" si="5">G27/A27</f>
        <v>6.6001142857142847</v>
      </c>
      <c r="I27">
        <v>0.93359999999999999</v>
      </c>
      <c r="K27">
        <v>0.92124200000000001</v>
      </c>
      <c r="M27" t="e">
        <f t="shared" si="2"/>
        <v>#DIV/0!</v>
      </c>
    </row>
    <row r="28" spans="1:13" x14ac:dyDescent="0.25">
      <c r="A28">
        <v>0.13</v>
      </c>
      <c r="B28">
        <v>1E-3</v>
      </c>
      <c r="C28" s="2">
        <f t="shared" si="0"/>
        <v>0.13100000000000001</v>
      </c>
      <c r="D28" s="2">
        <f t="shared" si="1"/>
        <v>0.129</v>
      </c>
      <c r="G28">
        <v>0.85800799999999999</v>
      </c>
      <c r="H28">
        <f t="shared" si="5"/>
        <v>6.6000615384615378</v>
      </c>
      <c r="I28">
        <v>0.86460000000000004</v>
      </c>
      <c r="K28">
        <v>0.85499000000000003</v>
      </c>
      <c r="M28" t="e">
        <f t="shared" si="2"/>
        <v>#DIV/0!</v>
      </c>
    </row>
    <row r="29" spans="1:13" x14ac:dyDescent="0.25">
      <c r="A29">
        <v>0.12</v>
      </c>
      <c r="B29">
        <v>1E-3</v>
      </c>
      <c r="C29" s="2">
        <f t="shared" si="0"/>
        <v>0.121</v>
      </c>
      <c r="D29" s="2">
        <f t="shared" si="1"/>
        <v>0.11899999999999999</v>
      </c>
      <c r="G29">
        <v>0.79200000000000004</v>
      </c>
      <c r="H29">
        <v>6.6</v>
      </c>
      <c r="I29">
        <v>0.79854999999999998</v>
      </c>
      <c r="K29">
        <v>0.78890000000000005</v>
      </c>
      <c r="M29" s="4" t="e">
        <f xml:space="preserve"> -(K29-I29)/(L29-J29)</f>
        <v>#DIV/0!</v>
      </c>
    </row>
    <row r="30" spans="1:13" x14ac:dyDescent="0.25">
      <c r="A30">
        <v>0.1</v>
      </c>
      <c r="B30">
        <v>1E-3</v>
      </c>
      <c r="C30" s="2">
        <f t="shared" si="0"/>
        <v>0.10100000000000001</v>
      </c>
      <c r="D30" s="2">
        <f t="shared" si="1"/>
        <v>9.9000000000000005E-2</v>
      </c>
      <c r="G30">
        <v>0.66</v>
      </c>
      <c r="H30">
        <v>6.6</v>
      </c>
      <c r="I30">
        <v>0.66669999999999996</v>
      </c>
      <c r="K30">
        <v>0.65649999999999997</v>
      </c>
      <c r="L30">
        <v>6.59</v>
      </c>
      <c r="M30">
        <f t="shared" si="2"/>
        <v>1.5477996965098614E-3</v>
      </c>
    </row>
    <row r="31" spans="1:13" x14ac:dyDescent="0.25">
      <c r="A31">
        <v>0.05</v>
      </c>
      <c r="B31">
        <v>1E-3</v>
      </c>
      <c r="C31" s="2">
        <f t="shared" si="0"/>
        <v>5.1000000000000004E-2</v>
      </c>
      <c r="D31" s="2">
        <f t="shared" si="1"/>
        <v>4.9000000000000002E-2</v>
      </c>
      <c r="G31">
        <v>0.33</v>
      </c>
      <c r="H31">
        <v>6.6</v>
      </c>
      <c r="I31">
        <v>0.33660000000000001</v>
      </c>
      <c r="J31">
        <f>I31/C31</f>
        <v>6.6</v>
      </c>
      <c r="K31">
        <v>0.32340000000000002</v>
      </c>
      <c r="L31">
        <v>6.6000100000000002</v>
      </c>
      <c r="M31" s="4">
        <f t="shared" si="2"/>
        <v>1319.9999999327315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2024-12-05T21:30:51Z</dcterms:modified>
</cp:coreProperties>
</file>